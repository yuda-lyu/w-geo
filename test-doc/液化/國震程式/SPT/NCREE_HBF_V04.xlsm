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5" codeName="{3D1A710C-6663-3D7B-7F91-EC182F24A4BC}"/>
  <workbookPr codeName="ThisWorkbook" hidePivotFieldList="1" defaultThemeVersion="124226"/>
  <mc:AlternateContent xmlns:mc="http://schemas.openxmlformats.org/markup-compatibility/2006">
    <mc:Choice Requires="x15">
      <x15ac:absPath xmlns:x15ac="http://schemas.microsoft.com/office/spreadsheetml/2010/11/ac" url="D:\開源-JS-003-2-w-geo\w-geo\test-doc\_液化\國震程式\"/>
    </mc:Choice>
  </mc:AlternateContent>
  <xr:revisionPtr revIDLastSave="0" documentId="13_ncr:1_{9C7553B9-A757-4702-B611-CEF971915F0F}" xr6:coauthVersionLast="36" xr6:coauthVersionMax="36" xr10:uidLastSave="{00000000-0000-0000-0000-000000000000}"/>
  <bookViews>
    <workbookView xWindow="0" yWindow="0" windowWidth="23040" windowHeight="9144" xr2:uid="{00000000-000D-0000-FFFF-FFFF00000000}"/>
  </bookViews>
  <sheets>
    <sheet name="Input" sheetId="25" r:id="rId1"/>
    <sheet name="HBF" sheetId="2" r:id="rId2"/>
    <sheet name="Out" sheetId="41" r:id="rId3"/>
  </sheets>
  <definedNames>
    <definedName name="_xlnm._FilterDatabase" localSheetId="1" hidden="1">HBF!$N$2:$N$22</definedName>
    <definedName name="_xlnm.Print_Area" localSheetId="1">HBF!$A$1:$U$22</definedName>
    <definedName name="_xlnm.Print_Area" localSheetId="0">Input!$A$1:$U$37</definedName>
    <definedName name="_xlnm.Print_Area" localSheetId="2">Out!$A$2:$AF$209</definedName>
  </definedNames>
  <calcPr calcId="191029"/>
</workbook>
</file>

<file path=xl/calcChain.xml><?xml version="1.0" encoding="utf-8"?>
<calcChain xmlns="http://schemas.openxmlformats.org/spreadsheetml/2006/main">
  <c r="L36" i="25" l="1"/>
  <c r="L35" i="25"/>
  <c r="L34" i="25"/>
  <c r="L33" i="25"/>
  <c r="L32" i="25"/>
  <c r="L31" i="25"/>
  <c r="L29" i="25"/>
  <c r="L30" i="25" s="1"/>
  <c r="L28" i="25"/>
  <c r="L27" i="25"/>
  <c r="L26" i="25"/>
  <c r="L25" i="25"/>
  <c r="L24" i="25"/>
  <c r="L23" i="25"/>
  <c r="L22" i="25"/>
  <c r="L21" i="25"/>
  <c r="L20" i="25"/>
  <c r="L19" i="25"/>
  <c r="L18" i="25"/>
  <c r="L17" i="25"/>
  <c r="S4" i="41" l="1"/>
  <c r="Q4" i="41"/>
  <c r="Q3" i="41"/>
  <c r="Z4" i="41" l="1"/>
  <c r="V4" i="41"/>
  <c r="F3" i="41"/>
  <c r="J4" i="41"/>
  <c r="O11" i="25"/>
  <c r="M11" i="25"/>
  <c r="L7" i="2" l="1"/>
  <c r="L15" i="2"/>
  <c r="L10" i="2"/>
  <c r="L14" i="2"/>
  <c r="L8" i="2"/>
  <c r="L3" i="2"/>
  <c r="L9" i="2"/>
  <c r="L6" i="2"/>
  <c r="L11" i="2"/>
  <c r="L4" i="2"/>
  <c r="L12" i="2"/>
  <c r="L5" i="2"/>
  <c r="L13" i="2"/>
  <c r="Q4" i="2"/>
  <c r="Q12" i="2"/>
  <c r="Q14" i="2"/>
  <c r="Q7" i="2"/>
  <c r="Q5" i="2"/>
  <c r="Q13" i="2"/>
  <c r="Q6" i="2"/>
  <c r="Q15" i="2"/>
  <c r="Q8" i="2"/>
  <c r="Q3" i="2"/>
  <c r="Q9" i="2"/>
  <c r="Q10" i="2"/>
  <c r="Q11" i="2"/>
  <c r="D6" i="2"/>
  <c r="D4" i="2" l="1"/>
  <c r="D5" i="2"/>
  <c r="D7" i="2"/>
  <c r="D8" i="2"/>
  <c r="D9" i="2"/>
  <c r="D10" i="2"/>
  <c r="D11" i="2"/>
  <c r="D13" i="2"/>
  <c r="E21" i="2" l="1"/>
  <c r="R35" i="25"/>
  <c r="B21" i="2"/>
  <c r="H21" i="2"/>
  <c r="N21" i="2"/>
  <c r="S21" i="2"/>
  <c r="Q35" i="25"/>
  <c r="E20" i="2"/>
  <c r="R34" i="25"/>
  <c r="B20" i="2"/>
  <c r="H20" i="2"/>
  <c r="N20" i="2"/>
  <c r="Q34" i="25"/>
  <c r="S20" i="2"/>
  <c r="E19" i="2"/>
  <c r="R33" i="25"/>
  <c r="B19" i="2"/>
  <c r="S19" i="2"/>
  <c r="H19" i="2"/>
  <c r="N19" i="2"/>
  <c r="Q33" i="25"/>
  <c r="E18" i="2"/>
  <c r="R32" i="25"/>
  <c r="B18" i="2"/>
  <c r="H18" i="2"/>
  <c r="Q32" i="25"/>
  <c r="N18" i="2"/>
  <c r="S18" i="2"/>
  <c r="E22" i="2"/>
  <c r="R36" i="25"/>
  <c r="B22" i="2"/>
  <c r="N22" i="2"/>
  <c r="S22" i="2"/>
  <c r="H22" i="2"/>
  <c r="Q36" i="25"/>
  <c r="R31" i="25"/>
  <c r="B17" i="2"/>
  <c r="N17" i="2"/>
  <c r="Q31" i="25"/>
  <c r="S17" i="2"/>
  <c r="H17" i="2"/>
  <c r="E17" i="2"/>
  <c r="D19" i="2"/>
  <c r="Q19" i="2"/>
  <c r="L19" i="2"/>
  <c r="I19" i="2"/>
  <c r="O19" i="2"/>
  <c r="T19" i="2"/>
  <c r="D22" i="2"/>
  <c r="Q22" i="2"/>
  <c r="L22" i="2"/>
  <c r="I22" i="2"/>
  <c r="O22" i="2"/>
  <c r="T22" i="2"/>
  <c r="D21" i="2"/>
  <c r="Q21" i="2"/>
  <c r="L21" i="2"/>
  <c r="O21" i="2"/>
  <c r="T21" i="2"/>
  <c r="I21" i="2"/>
  <c r="D20" i="2"/>
  <c r="Q20" i="2"/>
  <c r="L20" i="2"/>
  <c r="T20" i="2"/>
  <c r="I20" i="2"/>
  <c r="O20" i="2"/>
  <c r="D18" i="2"/>
  <c r="L18" i="2"/>
  <c r="Q18" i="2"/>
  <c r="I18" i="2"/>
  <c r="O18" i="2"/>
  <c r="T18" i="2"/>
  <c r="D17" i="2"/>
  <c r="L17" i="2"/>
  <c r="Q17" i="2"/>
  <c r="I17" i="2"/>
  <c r="O17" i="2"/>
  <c r="T17" i="2"/>
  <c r="D12" i="2"/>
  <c r="M17" i="25"/>
  <c r="D3" i="2"/>
  <c r="D14" i="2"/>
  <c r="R20" i="2"/>
  <c r="F20" i="2"/>
  <c r="M20" i="2"/>
  <c r="F18" i="2"/>
  <c r="R18" i="2"/>
  <c r="M18" i="2"/>
  <c r="R21" i="2"/>
  <c r="M21" i="2"/>
  <c r="F21" i="2"/>
  <c r="M17" i="2"/>
  <c r="R17" i="2"/>
  <c r="F17" i="2"/>
  <c r="F19" i="2"/>
  <c r="R19" i="2"/>
  <c r="M19" i="2"/>
  <c r="R22" i="2"/>
  <c r="M22" i="2"/>
  <c r="F22" i="2"/>
  <c r="D15" i="2" l="1"/>
  <c r="R30" i="25" l="1"/>
  <c r="B16" i="2"/>
  <c r="S16" i="2"/>
  <c r="N16" i="2"/>
  <c r="Q30" i="25"/>
  <c r="H16" i="2"/>
  <c r="E16" i="2"/>
  <c r="L16" i="2"/>
  <c r="Q16" i="2"/>
  <c r="I16" i="2"/>
  <c r="O16" i="2"/>
  <c r="T16" i="2"/>
  <c r="D16" i="2"/>
  <c r="E30" i="25"/>
  <c r="E29" i="25"/>
  <c r="E28" i="25"/>
  <c r="E27" i="25"/>
  <c r="E26" i="25"/>
  <c r="E25" i="25"/>
  <c r="E24" i="25"/>
  <c r="E23" i="25"/>
  <c r="E22" i="25"/>
  <c r="E21" i="25"/>
  <c r="E20" i="25"/>
  <c r="E19" i="25"/>
  <c r="E18" i="25"/>
  <c r="E17" i="25"/>
  <c r="P33" i="25" l="1"/>
  <c r="P35" i="25"/>
  <c r="O31" i="25"/>
  <c r="O32" i="25"/>
  <c r="O35" i="25"/>
  <c r="O36" i="25"/>
  <c r="N32" i="25"/>
  <c r="N33" i="25"/>
  <c r="N36" i="25"/>
  <c r="M23" i="25"/>
  <c r="N23" i="25" s="1"/>
  <c r="M31" i="25"/>
  <c r="M32" i="25"/>
  <c r="M35" i="25"/>
  <c r="M36" i="25"/>
  <c r="G20" i="2"/>
  <c r="N31" i="25"/>
  <c r="M22" i="25"/>
  <c r="N22" i="25" s="1"/>
  <c r="K22" i="2"/>
  <c r="A21" i="2"/>
  <c r="C21" i="2"/>
  <c r="G21" i="2"/>
  <c r="K21" i="2"/>
  <c r="P21" i="2"/>
  <c r="O22" i="25" l="1"/>
  <c r="H88" i="41" s="1"/>
  <c r="J20" i="2"/>
  <c r="M27" i="25"/>
  <c r="O27" i="25" s="1"/>
  <c r="H163" i="41" s="1"/>
  <c r="M30" i="25"/>
  <c r="O30" i="25" s="1"/>
  <c r="J21" i="2"/>
  <c r="M26" i="25"/>
  <c r="O26" i="25" s="1"/>
  <c r="H148" i="41" s="1"/>
  <c r="P36" i="25"/>
  <c r="C20" i="2"/>
  <c r="M34" i="25"/>
  <c r="O34" i="25"/>
  <c r="K20" i="2"/>
  <c r="A12" i="2"/>
  <c r="M33" i="25"/>
  <c r="N35" i="25"/>
  <c r="O33" i="25"/>
  <c r="P32" i="25"/>
  <c r="P34" i="25"/>
  <c r="U21" i="2"/>
  <c r="U20" i="2"/>
  <c r="N34" i="25"/>
  <c r="P31" i="25"/>
  <c r="A13" i="2"/>
  <c r="M25" i="25"/>
  <c r="O25" i="25" s="1"/>
  <c r="H133" i="41" s="1"/>
  <c r="A3" i="2"/>
  <c r="M24" i="25"/>
  <c r="N24" i="25" s="1"/>
  <c r="N17" i="25"/>
  <c r="O17" i="25" s="1"/>
  <c r="M21" i="25"/>
  <c r="O21" i="25" s="1"/>
  <c r="H73" i="41" s="1"/>
  <c r="M18" i="25"/>
  <c r="N18" i="25" s="1"/>
  <c r="O18" i="25" s="1"/>
  <c r="H28" i="41" s="1"/>
  <c r="M29" i="25"/>
  <c r="O29" i="25" s="1"/>
  <c r="H193" i="41" s="1"/>
  <c r="M20" i="25"/>
  <c r="N20" i="25" s="1"/>
  <c r="M28" i="25"/>
  <c r="N28" i="25" s="1"/>
  <c r="A5" i="2"/>
  <c r="M19" i="25"/>
  <c r="O19" i="25" s="1"/>
  <c r="H43" i="41" s="1"/>
  <c r="O23" i="25"/>
  <c r="H103" i="41" s="1"/>
  <c r="A14" i="2"/>
  <c r="A20" i="2"/>
  <c r="A4" i="2"/>
  <c r="G17" i="2"/>
  <c r="K17" i="2"/>
  <c r="P20" i="2"/>
  <c r="A16" i="2"/>
  <c r="A8" i="2"/>
  <c r="G19" i="2"/>
  <c r="U19" i="2"/>
  <c r="A19" i="2"/>
  <c r="K19" i="2"/>
  <c r="C19" i="2"/>
  <c r="P19" i="2"/>
  <c r="J19" i="2"/>
  <c r="A7" i="2"/>
  <c r="P18" i="2"/>
  <c r="A18" i="2"/>
  <c r="C18" i="2"/>
  <c r="G18" i="2"/>
  <c r="K18" i="2"/>
  <c r="A10" i="2"/>
  <c r="J18" i="2"/>
  <c r="A11" i="2"/>
  <c r="A15" i="2"/>
  <c r="U18" i="2"/>
  <c r="C17" i="2"/>
  <c r="J17" i="2"/>
  <c r="P17" i="2"/>
  <c r="A17" i="2"/>
  <c r="U17" i="2"/>
  <c r="A9" i="2"/>
  <c r="U22" i="2"/>
  <c r="A22" i="2"/>
  <c r="C22" i="2"/>
  <c r="G22" i="2"/>
  <c r="P22" i="2"/>
  <c r="A6" i="2"/>
  <c r="J22" i="2"/>
  <c r="J43" i="41" l="1"/>
  <c r="M43" i="41"/>
  <c r="I43" i="41"/>
  <c r="J133" i="41"/>
  <c r="J193" i="41"/>
  <c r="J28" i="41"/>
  <c r="I28" i="41"/>
  <c r="M28" i="41"/>
  <c r="M103" i="41"/>
  <c r="J88" i="41"/>
  <c r="O28" i="25"/>
  <c r="H178" i="41" s="1"/>
  <c r="O24" i="25"/>
  <c r="H118" i="41" s="1"/>
  <c r="J16" i="2"/>
  <c r="G16" i="2"/>
  <c r="N30" i="25"/>
  <c r="N25" i="25"/>
  <c r="N29" i="25"/>
  <c r="N26" i="25"/>
  <c r="N21" i="25"/>
  <c r="N27" i="25"/>
  <c r="J15" i="2"/>
  <c r="N19" i="25"/>
  <c r="G15" i="2"/>
  <c r="O20" i="25"/>
  <c r="H58" i="41" s="1"/>
  <c r="I118" i="41" l="1"/>
  <c r="J118" i="41"/>
  <c r="M118" i="41"/>
  <c r="I103" i="41"/>
  <c r="M148" i="41"/>
  <c r="I133" i="41"/>
  <c r="I178" i="41"/>
  <c r="J178" i="41"/>
  <c r="M178" i="41"/>
  <c r="J73" i="41"/>
  <c r="M73" i="41"/>
  <c r="I88" i="41"/>
  <c r="I73" i="41"/>
  <c r="M163" i="41"/>
  <c r="J148" i="41"/>
  <c r="M58" i="41"/>
  <c r="J58" i="41"/>
  <c r="I58" i="41"/>
  <c r="M88" i="41"/>
  <c r="I163" i="41"/>
  <c r="I148" i="41"/>
  <c r="J163" i="41"/>
  <c r="M193" i="41"/>
  <c r="J103" i="41"/>
  <c r="I193" i="41"/>
  <c r="M133" i="41"/>
  <c r="P17" i="25"/>
  <c r="V5" i="41"/>
  <c r="R5" i="41"/>
  <c r="N5" i="41"/>
  <c r="D207" i="41"/>
  <c r="D206" i="41"/>
  <c r="D205" i="41"/>
  <c r="D204" i="41"/>
  <c r="D203" i="41"/>
  <c r="D202" i="41"/>
  <c r="D201" i="41"/>
  <c r="D200" i="41"/>
  <c r="D199" i="41"/>
  <c r="D198" i="41"/>
  <c r="D197" i="41"/>
  <c r="D196" i="41"/>
  <c r="D195" i="41"/>
  <c r="D194" i="41"/>
  <c r="D193" i="41"/>
  <c r="D192" i="41"/>
  <c r="D191" i="41"/>
  <c r="D190" i="41"/>
  <c r="D189" i="41"/>
  <c r="D188" i="41"/>
  <c r="D187" i="41"/>
  <c r="D186" i="41"/>
  <c r="D185" i="41"/>
  <c r="D184" i="41"/>
  <c r="D183" i="41"/>
  <c r="D182" i="41"/>
  <c r="D181" i="41"/>
  <c r="D180" i="41"/>
  <c r="D179" i="41"/>
  <c r="D178" i="41"/>
  <c r="D177" i="41"/>
  <c r="D176" i="41"/>
  <c r="D175" i="41"/>
  <c r="D174" i="41"/>
  <c r="D173" i="41"/>
  <c r="D172" i="41"/>
  <c r="D171" i="41"/>
  <c r="D170" i="41"/>
  <c r="D169" i="41"/>
  <c r="D168" i="41"/>
  <c r="D167" i="41"/>
  <c r="D166" i="41"/>
  <c r="D165" i="41"/>
  <c r="D164" i="41"/>
  <c r="D163" i="41"/>
  <c r="D162" i="41"/>
  <c r="D161" i="41"/>
  <c r="D160" i="41"/>
  <c r="D159" i="41"/>
  <c r="D158" i="41"/>
  <c r="D157" i="41"/>
  <c r="D156" i="41"/>
  <c r="D155" i="41"/>
  <c r="D154" i="41"/>
  <c r="D153" i="41"/>
  <c r="D152" i="41"/>
  <c r="D151" i="41"/>
  <c r="D150" i="41"/>
  <c r="D149" i="41"/>
  <c r="D148" i="41"/>
  <c r="D147" i="41"/>
  <c r="D146" i="41"/>
  <c r="D145" i="41"/>
  <c r="D144" i="41"/>
  <c r="D143" i="41"/>
  <c r="D142" i="41"/>
  <c r="D141" i="41"/>
  <c r="D140" i="41"/>
  <c r="D139" i="41"/>
  <c r="D138" i="41"/>
  <c r="D137" i="41"/>
  <c r="D136" i="41"/>
  <c r="D135" i="41"/>
  <c r="D134" i="41"/>
  <c r="D133" i="41"/>
  <c r="D132" i="41"/>
  <c r="D131" i="41"/>
  <c r="D130" i="41"/>
  <c r="D129" i="41"/>
  <c r="D128" i="41"/>
  <c r="D127" i="41"/>
  <c r="D126" i="41"/>
  <c r="D125" i="41"/>
  <c r="D124" i="41"/>
  <c r="D123" i="41"/>
  <c r="D122" i="41"/>
  <c r="D121" i="41"/>
  <c r="D120" i="41"/>
  <c r="D119" i="41"/>
  <c r="D118" i="41"/>
  <c r="D117" i="41"/>
  <c r="D116" i="41"/>
  <c r="D115" i="41"/>
  <c r="D114" i="41"/>
  <c r="D113" i="41"/>
  <c r="D112" i="41"/>
  <c r="D111" i="41"/>
  <c r="D110" i="41"/>
  <c r="D109" i="41"/>
  <c r="D108" i="41"/>
  <c r="D107" i="41"/>
  <c r="D106" i="41"/>
  <c r="D105" i="41"/>
  <c r="D104" i="41"/>
  <c r="D103" i="41"/>
  <c r="D102" i="41"/>
  <c r="D101" i="41"/>
  <c r="D100" i="41"/>
  <c r="D99" i="41"/>
  <c r="D98" i="41"/>
  <c r="D97" i="41"/>
  <c r="D96" i="41"/>
  <c r="D95" i="41"/>
  <c r="D94" i="41"/>
  <c r="D93" i="41"/>
  <c r="D92" i="41"/>
  <c r="D91" i="41"/>
  <c r="D90" i="41"/>
  <c r="D89" i="41"/>
  <c r="D88" i="41"/>
  <c r="D87" i="41"/>
  <c r="D86" i="41"/>
  <c r="D85" i="41"/>
  <c r="D84" i="41"/>
  <c r="D83" i="41"/>
  <c r="D82" i="41"/>
  <c r="D81" i="41"/>
  <c r="D80" i="41"/>
  <c r="D79" i="41"/>
  <c r="D78" i="41"/>
  <c r="D77" i="41"/>
  <c r="D76" i="41"/>
  <c r="D75" i="41"/>
  <c r="D74" i="41"/>
  <c r="D73" i="41"/>
  <c r="D72" i="41"/>
  <c r="D71" i="41"/>
  <c r="D70" i="41"/>
  <c r="D69" i="41"/>
  <c r="D68" i="41"/>
  <c r="D67" i="41"/>
  <c r="D66" i="41"/>
  <c r="D65" i="41"/>
  <c r="D64" i="41"/>
  <c r="D63" i="41"/>
  <c r="D62" i="41"/>
  <c r="D61" i="41"/>
  <c r="D60" i="41"/>
  <c r="D59" i="41"/>
  <c r="D58" i="41"/>
  <c r="D57" i="41"/>
  <c r="D56" i="41"/>
  <c r="D55" i="41"/>
  <c r="D54" i="41"/>
  <c r="D53" i="41"/>
  <c r="D52" i="41"/>
  <c r="D51" i="41"/>
  <c r="D50" i="41"/>
  <c r="D49" i="41"/>
  <c r="D48" i="41"/>
  <c r="D47" i="41"/>
  <c r="D46" i="41"/>
  <c r="D45" i="41"/>
  <c r="D44" i="41"/>
  <c r="D43" i="41"/>
  <c r="D42" i="41"/>
  <c r="D41" i="41"/>
  <c r="D40" i="41"/>
  <c r="D39" i="41"/>
  <c r="D38" i="41"/>
  <c r="D37" i="41"/>
  <c r="D36" i="41"/>
  <c r="D35" i="41"/>
  <c r="D34" i="41"/>
  <c r="D33" i="41"/>
  <c r="D32" i="41"/>
  <c r="D31" i="41"/>
  <c r="D30" i="41"/>
  <c r="D29" i="41"/>
  <c r="D28" i="41"/>
  <c r="D27" i="41"/>
  <c r="D26" i="41"/>
  <c r="D25" i="41"/>
  <c r="D24" i="41"/>
  <c r="D23" i="41"/>
  <c r="D22" i="41"/>
  <c r="D21" i="41"/>
  <c r="D20" i="41"/>
  <c r="D19" i="41"/>
  <c r="D18" i="41"/>
  <c r="D17" i="41"/>
  <c r="D16" i="41"/>
  <c r="D15" i="41"/>
  <c r="D14" i="41"/>
  <c r="D13" i="41"/>
  <c r="D12" i="41"/>
  <c r="D11" i="41"/>
  <c r="D10" i="41"/>
  <c r="D9" i="41"/>
  <c r="D8" i="41"/>
  <c r="R17" i="25" l="1"/>
  <c r="B3" i="2" s="1"/>
  <c r="Q17" i="25"/>
  <c r="P18" i="25"/>
  <c r="K28" i="41" s="1"/>
  <c r="R18" i="25" l="1"/>
  <c r="B4" i="2" s="1"/>
  <c r="Q18" i="25"/>
  <c r="L28" i="41" s="1"/>
  <c r="P19" i="25"/>
  <c r="K43" i="41" s="1"/>
  <c r="R19" i="25" l="1"/>
  <c r="B5" i="2" s="1"/>
  <c r="Q19" i="25"/>
  <c r="L43" i="41" s="1"/>
  <c r="P20" i="25"/>
  <c r="K58" i="41" s="1"/>
  <c r="E31" i="25"/>
  <c r="E32" i="25"/>
  <c r="E33" i="25"/>
  <c r="E34" i="25"/>
  <c r="E35" i="25"/>
  <c r="E36" i="25"/>
  <c r="R20" i="25" l="1"/>
  <c r="B6" i="2" s="1"/>
  <c r="Q20" i="25"/>
  <c r="L58" i="41" s="1"/>
  <c r="P21" i="25"/>
  <c r="K73" i="41" s="1"/>
  <c r="R21" i="25" l="1"/>
  <c r="B7" i="2" s="1"/>
  <c r="Q21" i="25"/>
  <c r="L73" i="41" s="1"/>
  <c r="P22" i="25"/>
  <c r="K88" i="41" s="1"/>
  <c r="J7" i="2"/>
  <c r="G7" i="2"/>
  <c r="G9" i="2"/>
  <c r="J9" i="2"/>
  <c r="J11" i="2"/>
  <c r="G11" i="2"/>
  <c r="H8" i="41"/>
  <c r="L8" i="41" s="1"/>
  <c r="R22" i="25" l="1"/>
  <c r="B8" i="2" s="1"/>
  <c r="Q22" i="25"/>
  <c r="L88" i="41" s="1"/>
  <c r="P23" i="25"/>
  <c r="K103" i="41" s="1"/>
  <c r="J10" i="2"/>
  <c r="G10" i="2"/>
  <c r="J13" i="2"/>
  <c r="G13" i="2"/>
  <c r="J6" i="2"/>
  <c r="G6" i="2"/>
  <c r="G12" i="2"/>
  <c r="J12" i="2"/>
  <c r="G8" i="2"/>
  <c r="J8" i="2"/>
  <c r="J5" i="2"/>
  <c r="G5" i="2"/>
  <c r="J3" i="2"/>
  <c r="G3" i="2"/>
  <c r="G4" i="2"/>
  <c r="J4" i="2"/>
  <c r="I8" i="41"/>
  <c r="M8" i="41"/>
  <c r="J8" i="41"/>
  <c r="R23" i="25" l="1"/>
  <c r="B9" i="2" s="1"/>
  <c r="Q23" i="25"/>
  <c r="L103" i="41" s="1"/>
  <c r="P24" i="25"/>
  <c r="K118" i="41" s="1"/>
  <c r="J14" i="2"/>
  <c r="G14" i="2"/>
  <c r="K8" i="41"/>
  <c r="R24" i="25" l="1"/>
  <c r="B10" i="2" s="1"/>
  <c r="Q24" i="25"/>
  <c r="L118" i="41" s="1"/>
  <c r="P25" i="25"/>
  <c r="K133" i="41" s="1"/>
  <c r="C3" i="2"/>
  <c r="E3" i="2" s="1"/>
  <c r="R25" i="25" l="1"/>
  <c r="B11" i="2" s="1"/>
  <c r="Q25" i="25"/>
  <c r="L133" i="41" s="1"/>
  <c r="H3" i="2"/>
  <c r="N3" i="2"/>
  <c r="S3" i="2"/>
  <c r="P26" i="25"/>
  <c r="K148" i="41" s="1"/>
  <c r="C4" i="2"/>
  <c r="E4" i="2" s="1"/>
  <c r="R26" i="25" l="1"/>
  <c r="B12" i="2" s="1"/>
  <c r="Q26" i="25"/>
  <c r="L148" i="41" s="1"/>
  <c r="N4" i="2"/>
  <c r="O28" i="41" s="1"/>
  <c r="S4" i="2"/>
  <c r="W28" i="41" s="1"/>
  <c r="H4" i="2"/>
  <c r="S28" i="41" s="1"/>
  <c r="P27" i="25"/>
  <c r="K163" i="41" s="1"/>
  <c r="M3" i="2"/>
  <c r="N8" i="41" s="1"/>
  <c r="O8" i="41"/>
  <c r="W8" i="41"/>
  <c r="F3" i="2"/>
  <c r="R8" i="41" s="1"/>
  <c r="S8" i="41"/>
  <c r="R3" i="2"/>
  <c r="V8" i="41" s="1"/>
  <c r="C5" i="2"/>
  <c r="E5" i="2" s="1"/>
  <c r="R27" i="25" l="1"/>
  <c r="B13" i="2" s="1"/>
  <c r="Q27" i="25"/>
  <c r="L163" i="41" s="1"/>
  <c r="N5" i="2"/>
  <c r="O43" i="41" s="1"/>
  <c r="H5" i="2"/>
  <c r="S43" i="41" s="1"/>
  <c r="S5" i="2"/>
  <c r="W43" i="41" s="1"/>
  <c r="P28" i="25"/>
  <c r="K178" i="41" s="1"/>
  <c r="I3" i="2"/>
  <c r="T8" i="41" s="1"/>
  <c r="O3" i="2"/>
  <c r="P8" i="41" s="1"/>
  <c r="T3" i="2"/>
  <c r="X8" i="41" s="1"/>
  <c r="I4" i="2"/>
  <c r="T28" i="41" s="1"/>
  <c r="O4" i="2"/>
  <c r="P28" i="41" s="1"/>
  <c r="T4" i="2"/>
  <c r="X28" i="41" s="1"/>
  <c r="F4" i="2"/>
  <c r="R28" i="41" s="1"/>
  <c r="R4" i="2"/>
  <c r="V28" i="41" s="1"/>
  <c r="M4" i="2"/>
  <c r="N28" i="41" s="1"/>
  <c r="C6" i="2"/>
  <c r="E6" i="2" s="1"/>
  <c r="R28" i="25" l="1"/>
  <c r="B14" i="2" s="1"/>
  <c r="Q28" i="25"/>
  <c r="L178" i="41" s="1"/>
  <c r="N6" i="2"/>
  <c r="O58" i="41" s="1"/>
  <c r="S6" i="2"/>
  <c r="W58" i="41" s="1"/>
  <c r="H6" i="2"/>
  <c r="S58" i="41" s="1"/>
  <c r="P29" i="25"/>
  <c r="K193" i="41" s="1"/>
  <c r="K4" i="2"/>
  <c r="U28" i="41" s="1"/>
  <c r="K3" i="2"/>
  <c r="U8" i="41" s="1"/>
  <c r="P3" i="2"/>
  <c r="Q8" i="41" s="1"/>
  <c r="P4" i="2"/>
  <c r="Q28" i="41" s="1"/>
  <c r="U4" i="2"/>
  <c r="Y28" i="41" s="1"/>
  <c r="F5" i="2"/>
  <c r="R43" i="41" s="1"/>
  <c r="R5" i="2"/>
  <c r="V43" i="41" s="1"/>
  <c r="M5" i="2"/>
  <c r="N43" i="41" s="1"/>
  <c r="P30" i="25"/>
  <c r="C7" i="2"/>
  <c r="E7" i="2" s="1"/>
  <c r="U3" i="2"/>
  <c r="Y8" i="41" s="1"/>
  <c r="R29" i="25" l="1"/>
  <c r="B15" i="2" s="1"/>
  <c r="Q29" i="25"/>
  <c r="L193" i="41" s="1"/>
  <c r="S7" i="2"/>
  <c r="W73" i="41" s="1"/>
  <c r="N7" i="2"/>
  <c r="O73" i="41" s="1"/>
  <c r="H7" i="2"/>
  <c r="S73" i="41" s="1"/>
  <c r="O5" i="2"/>
  <c r="P43" i="41" s="1"/>
  <c r="T5" i="2"/>
  <c r="X43" i="41" s="1"/>
  <c r="I5" i="2"/>
  <c r="T43" i="41" s="1"/>
  <c r="R6" i="2"/>
  <c r="V58" i="41" s="1"/>
  <c r="M6" i="2"/>
  <c r="N58" i="41" s="1"/>
  <c r="F6" i="2"/>
  <c r="R58" i="41" s="1"/>
  <c r="C16" i="2"/>
  <c r="C8" i="2"/>
  <c r="E8" i="2" s="1"/>
  <c r="S8" i="2" l="1"/>
  <c r="W88" i="41" s="1"/>
  <c r="H8" i="2"/>
  <c r="S88" i="41" s="1"/>
  <c r="N8" i="2"/>
  <c r="O88" i="41" s="1"/>
  <c r="C15" i="2"/>
  <c r="E15" i="2" s="1"/>
  <c r="O6" i="2"/>
  <c r="P58" i="41" s="1"/>
  <c r="T6" i="2"/>
  <c r="X58" i="41" s="1"/>
  <c r="I6" i="2"/>
  <c r="T58" i="41" s="1"/>
  <c r="U5" i="2"/>
  <c r="Y43" i="41" s="1"/>
  <c r="P5" i="2"/>
  <c r="Q43" i="41" s="1"/>
  <c r="R7" i="2"/>
  <c r="V73" i="41" s="1"/>
  <c r="M7" i="2"/>
  <c r="N73" i="41" s="1"/>
  <c r="F7" i="2"/>
  <c r="R73" i="41" s="1"/>
  <c r="K5" i="2"/>
  <c r="U43" i="41" s="1"/>
  <c r="C9" i="2"/>
  <c r="E9" i="2" s="1"/>
  <c r="C10" i="2"/>
  <c r="E10" i="2" s="1"/>
  <c r="S10" i="2" l="1"/>
  <c r="W118" i="41" s="1"/>
  <c r="H10" i="2"/>
  <c r="S118" i="41" s="1"/>
  <c r="N10" i="2"/>
  <c r="O118" i="41" s="1"/>
  <c r="S9" i="2"/>
  <c r="W103" i="41" s="1"/>
  <c r="H9" i="2"/>
  <c r="S103" i="41" s="1"/>
  <c r="N9" i="2"/>
  <c r="O103" i="41" s="1"/>
  <c r="N15" i="2"/>
  <c r="O193" i="41" s="1"/>
  <c r="S15" i="2"/>
  <c r="W193" i="41" s="1"/>
  <c r="H15" i="2"/>
  <c r="S193" i="41" s="1"/>
  <c r="T7" i="2"/>
  <c r="X73" i="41" s="1"/>
  <c r="O7" i="2"/>
  <c r="P73" i="41" s="1"/>
  <c r="I7" i="2"/>
  <c r="T73" i="41" s="1"/>
  <c r="I15" i="2"/>
  <c r="T193" i="41" s="1"/>
  <c r="T15" i="2"/>
  <c r="X193" i="41" s="1"/>
  <c r="O15" i="2"/>
  <c r="P193" i="41" s="1"/>
  <c r="U6" i="2"/>
  <c r="Y58" i="41" s="1"/>
  <c r="P6" i="2"/>
  <c r="Q58" i="41" s="1"/>
  <c r="M16" i="2"/>
  <c r="F16" i="2"/>
  <c r="R16" i="2"/>
  <c r="R15" i="2"/>
  <c r="V193" i="41" s="1"/>
  <c r="M15" i="2"/>
  <c r="N193" i="41" s="1"/>
  <c r="F15" i="2"/>
  <c r="R193" i="41" s="1"/>
  <c r="F8" i="2"/>
  <c r="R88" i="41" s="1"/>
  <c r="R8" i="2"/>
  <c r="V88" i="41" s="1"/>
  <c r="M8" i="2"/>
  <c r="N88" i="41" s="1"/>
  <c r="K6" i="2"/>
  <c r="U58" i="41" s="1"/>
  <c r="C11" i="2"/>
  <c r="E11" i="2" s="1"/>
  <c r="S11" i="2" l="1"/>
  <c r="W133" i="41" s="1"/>
  <c r="H11" i="2"/>
  <c r="S133" i="41" s="1"/>
  <c r="N11" i="2"/>
  <c r="O133" i="41" s="1"/>
  <c r="P7" i="2"/>
  <c r="Q73" i="41" s="1"/>
  <c r="T8" i="2"/>
  <c r="X88" i="41" s="1"/>
  <c r="O8" i="2"/>
  <c r="P88" i="41" s="1"/>
  <c r="I8" i="2"/>
  <c r="T88" i="41" s="1"/>
  <c r="K15" i="2"/>
  <c r="U193" i="41" s="1"/>
  <c r="K7" i="2"/>
  <c r="U73" i="41" s="1"/>
  <c r="F9" i="2"/>
  <c r="R103" i="41" s="1"/>
  <c r="R9" i="2"/>
  <c r="V103" i="41" s="1"/>
  <c r="M9" i="2"/>
  <c r="N103" i="41" s="1"/>
  <c r="R10" i="2"/>
  <c r="V118" i="41" s="1"/>
  <c r="M10" i="2"/>
  <c r="N118" i="41" s="1"/>
  <c r="F10" i="2"/>
  <c r="R118" i="41" s="1"/>
  <c r="K16" i="2"/>
  <c r="P16" i="2"/>
  <c r="U16" i="2"/>
  <c r="U7" i="2"/>
  <c r="Y73" i="41" s="1"/>
  <c r="C12" i="2"/>
  <c r="E12" i="2" s="1"/>
  <c r="N12" i="2" l="1"/>
  <c r="O148" i="41" s="1"/>
  <c r="S12" i="2"/>
  <c r="W148" i="41" s="1"/>
  <c r="H12" i="2"/>
  <c r="S148" i="41" s="1"/>
  <c r="T10" i="2"/>
  <c r="X118" i="41" s="1"/>
  <c r="O10" i="2"/>
  <c r="P118" i="41" s="1"/>
  <c r="O9" i="2"/>
  <c r="P103" i="41" s="1"/>
  <c r="T9" i="2"/>
  <c r="X103" i="41" s="1"/>
  <c r="I10" i="2"/>
  <c r="T118" i="41" s="1"/>
  <c r="I9" i="2"/>
  <c r="T103" i="41" s="1"/>
  <c r="U15" i="2"/>
  <c r="Y193" i="41" s="1"/>
  <c r="P15" i="2"/>
  <c r="Q193" i="41" s="1"/>
  <c r="F11" i="2"/>
  <c r="R133" i="41" s="1"/>
  <c r="R11" i="2"/>
  <c r="V133" i="41" s="1"/>
  <c r="M11" i="2"/>
  <c r="N133" i="41" s="1"/>
  <c r="K8" i="2"/>
  <c r="U88" i="41" s="1"/>
  <c r="C13" i="2"/>
  <c r="E13" i="2" s="1"/>
  <c r="H13" i="2" l="1"/>
  <c r="S163" i="41" s="1"/>
  <c r="N13" i="2"/>
  <c r="O163" i="41" s="1"/>
  <c r="S13" i="2"/>
  <c r="W163" i="41" s="1"/>
  <c r="T11" i="2"/>
  <c r="X133" i="41" s="1"/>
  <c r="O11" i="2"/>
  <c r="P133" i="41" s="1"/>
  <c r="I11" i="2"/>
  <c r="T133" i="41" s="1"/>
  <c r="P9" i="2"/>
  <c r="Q103" i="41" s="1"/>
  <c r="F12" i="2"/>
  <c r="R148" i="41" s="1"/>
  <c r="R12" i="2"/>
  <c r="V148" i="41" s="1"/>
  <c r="M12" i="2"/>
  <c r="N148" i="41" s="1"/>
  <c r="K9" i="2"/>
  <c r="U103" i="41" s="1"/>
  <c r="K10" i="2"/>
  <c r="U118" i="41" s="1"/>
  <c r="C14" i="2"/>
  <c r="E14" i="2" s="1"/>
  <c r="P10" i="2"/>
  <c r="Q118" i="41" s="1"/>
  <c r="N14" i="2" l="1"/>
  <c r="O178" i="41" s="1"/>
  <c r="S14" i="2"/>
  <c r="W178" i="41" s="1"/>
  <c r="H14" i="2"/>
  <c r="S178" i="41" s="1"/>
  <c r="I12" i="2"/>
  <c r="T148" i="41" s="1"/>
  <c r="O12" i="2"/>
  <c r="P148" i="41" s="1"/>
  <c r="T12" i="2"/>
  <c r="X148" i="41" s="1"/>
  <c r="F13" i="2"/>
  <c r="R163" i="41" s="1"/>
  <c r="R13" i="2"/>
  <c r="V163" i="41" s="1"/>
  <c r="M13" i="2"/>
  <c r="N163" i="41" s="1"/>
  <c r="U8" i="2"/>
  <c r="Y88" i="41" s="1"/>
  <c r="U9" i="2"/>
  <c r="Y103" i="41" s="1"/>
  <c r="P8" i="2"/>
  <c r="Q88" i="41" s="1"/>
  <c r="K11" i="2"/>
  <c r="U133" i="41" s="1"/>
  <c r="O13" i="2" l="1"/>
  <c r="P163" i="41" s="1"/>
  <c r="I13" i="2"/>
  <c r="T163" i="41" s="1"/>
  <c r="T13" i="2"/>
  <c r="X163" i="41" s="1"/>
  <c r="R14" i="2"/>
  <c r="V178" i="41" s="1"/>
  <c r="M14" i="2"/>
  <c r="N178" i="41" s="1"/>
  <c r="F14" i="2"/>
  <c r="R178" i="41" s="1"/>
  <c r="K12" i="2"/>
  <c r="U148" i="41" s="1"/>
  <c r="U10" i="2"/>
  <c r="Y118" i="41" s="1"/>
  <c r="P12" i="2"/>
  <c r="Q148" i="41" s="1"/>
  <c r="O14" i="2" l="1"/>
  <c r="P178" i="41" s="1"/>
  <c r="T14" i="2"/>
  <c r="X178" i="41" s="1"/>
  <c r="I14" i="2"/>
  <c r="T178" i="41" s="1"/>
  <c r="K13" i="2"/>
  <c r="U163" i="41" s="1"/>
  <c r="P11" i="2"/>
  <c r="Q133" i="41" s="1"/>
  <c r="P13" i="2"/>
  <c r="Q163" i="41" s="1"/>
  <c r="U12" i="2" l="1"/>
  <c r="Y148" i="41" s="1"/>
  <c r="K14" i="2"/>
  <c r="U178" i="41" s="1"/>
  <c r="U208" i="41" l="1"/>
  <c r="U13" i="2"/>
  <c r="Y163" i="41" s="1"/>
  <c r="U11" i="2"/>
  <c r="Y133" i="41" s="1"/>
  <c r="P14" i="2"/>
  <c r="Q178" i="41" s="1"/>
  <c r="Q208" i="41" l="1"/>
  <c r="U14" i="2"/>
  <c r="Y178" i="41" s="1"/>
  <c r="Y208" i="41" l="1"/>
</calcChain>
</file>

<file path=xl/sharedStrings.xml><?xml version="1.0" encoding="utf-8"?>
<sst xmlns="http://schemas.openxmlformats.org/spreadsheetml/2006/main" count="151" uniqueCount="121">
  <si>
    <t>CSR</t>
    <phoneticPr fontId="2" type="noConversion"/>
  </si>
  <si>
    <t>CRR</t>
    <phoneticPr fontId="2" type="noConversion"/>
  </si>
  <si>
    <t>FS</t>
    <phoneticPr fontId="2" type="noConversion"/>
  </si>
  <si>
    <t>MSF</t>
    <phoneticPr fontId="2" type="noConversion"/>
  </si>
  <si>
    <r>
      <t>N</t>
    </r>
    <r>
      <rPr>
        <sz val="12"/>
        <rFont val="華康細圓體"/>
        <family val="3"/>
        <charset val="136"/>
      </rPr>
      <t>值</t>
    </r>
    <phoneticPr fontId="2" type="noConversion"/>
  </si>
  <si>
    <t>FC
(%)</t>
    <phoneticPr fontId="2" type="noConversion"/>
  </si>
  <si>
    <t>LPI</t>
    <phoneticPr fontId="2" type="noConversion"/>
  </si>
  <si>
    <t>FC
(%)</t>
    <phoneticPr fontId="2" type="noConversion"/>
  </si>
  <si>
    <r>
      <t>a</t>
    </r>
    <r>
      <rPr>
        <vertAlign val="subscript"/>
        <sz val="12"/>
        <rFont val="Times New Roman"/>
        <family val="1"/>
      </rPr>
      <t>max</t>
    </r>
    <r>
      <rPr>
        <sz val="12"/>
        <rFont val="Times New Roman"/>
        <family val="1"/>
      </rPr>
      <t xml:space="preserve"> (</t>
    </r>
    <r>
      <rPr>
        <sz val="12"/>
        <rFont val="新細明體"/>
        <family val="1"/>
        <charset val="136"/>
      </rPr>
      <t>尖峰水平地表加速度</t>
    </r>
    <r>
      <rPr>
        <sz val="12"/>
        <rFont val="Times New Roman"/>
        <family val="1"/>
      </rPr>
      <t>) (g)</t>
    </r>
    <phoneticPr fontId="2" type="noConversion"/>
  </si>
  <si>
    <r>
      <t>M</t>
    </r>
    <r>
      <rPr>
        <vertAlign val="subscript"/>
        <sz val="12"/>
        <rFont val="Times New Roman"/>
        <family val="1"/>
      </rPr>
      <t>w</t>
    </r>
    <r>
      <rPr>
        <sz val="12"/>
        <rFont val="Times New Roman"/>
        <family val="1"/>
      </rPr>
      <t xml:space="preserve"> (</t>
    </r>
    <r>
      <rPr>
        <sz val="12"/>
        <rFont val="新細明體"/>
        <family val="1"/>
        <charset val="136"/>
      </rPr>
      <t>地震矩規模</t>
    </r>
    <r>
      <rPr>
        <sz val="12"/>
        <rFont val="Times New Roman"/>
        <family val="1"/>
      </rPr>
      <t>)</t>
    </r>
    <phoneticPr fontId="2" type="noConversion"/>
  </si>
  <si>
    <r>
      <t>SPT-N</t>
    </r>
    <r>
      <rPr>
        <sz val="12"/>
        <rFont val="細明體"/>
        <family val="3"/>
        <charset val="136"/>
      </rPr>
      <t xml:space="preserve">試驗範圍
</t>
    </r>
    <r>
      <rPr>
        <sz val="12"/>
        <rFont val="Times New Roman"/>
        <family val="1"/>
      </rPr>
      <t>(m)</t>
    </r>
    <phoneticPr fontId="2" type="noConversion"/>
  </si>
  <si>
    <r>
      <t>N</t>
    </r>
    <r>
      <rPr>
        <vertAlign val="subscript"/>
        <sz val="12"/>
        <rFont val="Times New Roman"/>
        <family val="1"/>
      </rPr>
      <t>60</t>
    </r>
    <phoneticPr fontId="2" type="noConversion"/>
  </si>
  <si>
    <r>
      <rPr>
        <sz val="12"/>
        <rFont val="細明體"/>
        <family val="3"/>
        <charset val="136"/>
      </rPr>
      <t xml:space="preserve">土層深度
</t>
    </r>
    <r>
      <rPr>
        <sz val="12"/>
        <rFont val="Times New Roman"/>
        <family val="1"/>
      </rPr>
      <t>(m)</t>
    </r>
    <phoneticPr fontId="2" type="noConversion"/>
  </si>
  <si>
    <r>
      <rPr>
        <sz val="12"/>
        <rFont val="細明體"/>
        <family val="3"/>
        <charset val="136"/>
      </rPr>
      <t xml:space="preserve">土層厚度
</t>
    </r>
    <r>
      <rPr>
        <sz val="12"/>
        <rFont val="Times New Roman"/>
        <family val="1"/>
      </rPr>
      <t>(m)</t>
    </r>
    <phoneticPr fontId="2" type="noConversion"/>
  </si>
  <si>
    <r>
      <t>σ</t>
    </r>
    <r>
      <rPr>
        <vertAlign val="subscript"/>
        <sz val="12"/>
        <rFont val="Times New Roman"/>
        <family val="1"/>
      </rPr>
      <t>v</t>
    </r>
    <r>
      <rPr>
        <sz val="12"/>
        <rFont val="Times New Roman"/>
        <family val="1"/>
      </rPr>
      <t xml:space="preserve"> 
(kPa)</t>
    </r>
    <phoneticPr fontId="2" type="noConversion"/>
  </si>
  <si>
    <r>
      <t>(N</t>
    </r>
    <r>
      <rPr>
        <vertAlign val="subscript"/>
        <sz val="12"/>
        <rFont val="Times New Roman"/>
        <family val="1"/>
      </rPr>
      <t>1</t>
    </r>
    <r>
      <rPr>
        <sz val="12"/>
        <rFont val="Times New Roman"/>
        <family val="1"/>
      </rPr>
      <t>)</t>
    </r>
    <r>
      <rPr>
        <vertAlign val="subscript"/>
        <sz val="12"/>
        <rFont val="Times New Roman"/>
        <family val="1"/>
      </rPr>
      <t>60</t>
    </r>
    <phoneticPr fontId="2" type="noConversion"/>
  </si>
  <si>
    <r>
      <t>(N</t>
    </r>
    <r>
      <rPr>
        <vertAlign val="subscript"/>
        <sz val="12"/>
        <rFont val="Times New Roman"/>
        <family val="1"/>
      </rPr>
      <t>1</t>
    </r>
    <r>
      <rPr>
        <sz val="12"/>
        <rFont val="Times New Roman"/>
        <family val="1"/>
      </rPr>
      <t>)</t>
    </r>
    <r>
      <rPr>
        <vertAlign val="subscript"/>
        <sz val="12"/>
        <rFont val="Times New Roman"/>
        <family val="1"/>
      </rPr>
      <t>60cs</t>
    </r>
    <phoneticPr fontId="2" type="noConversion"/>
  </si>
  <si>
    <r>
      <t>CRR</t>
    </r>
    <r>
      <rPr>
        <vertAlign val="subscript"/>
        <sz val="12"/>
        <rFont val="Times New Roman"/>
        <family val="1"/>
      </rPr>
      <t>7.5</t>
    </r>
    <phoneticPr fontId="2" type="noConversion"/>
  </si>
  <si>
    <r>
      <t>r</t>
    </r>
    <r>
      <rPr>
        <vertAlign val="subscript"/>
        <sz val="12"/>
        <rFont val="Times New Roman"/>
        <family val="1"/>
      </rPr>
      <t>d</t>
    </r>
    <phoneticPr fontId="2" type="noConversion"/>
  </si>
  <si>
    <r>
      <t>D</t>
    </r>
    <r>
      <rPr>
        <vertAlign val="subscript"/>
        <sz val="12"/>
        <rFont val="Times New Roman"/>
        <family val="1"/>
      </rPr>
      <t xml:space="preserve">50
</t>
    </r>
    <r>
      <rPr>
        <sz val="12"/>
        <rFont val="Times New Roman"/>
        <family val="1"/>
      </rPr>
      <t>(mm)</t>
    </r>
    <phoneticPr fontId="2" type="noConversion"/>
  </si>
  <si>
    <r>
      <t>E</t>
    </r>
    <r>
      <rPr>
        <vertAlign val="subscript"/>
        <sz val="12"/>
        <rFont val="Times New Roman"/>
        <family val="1"/>
      </rPr>
      <t>m</t>
    </r>
    <r>
      <rPr>
        <sz val="12"/>
        <rFont val="Times New Roman"/>
        <family val="1"/>
      </rPr>
      <t xml:space="preserve"> (</t>
    </r>
    <r>
      <rPr>
        <sz val="12"/>
        <rFont val="細明體"/>
        <family val="3"/>
        <charset val="136"/>
      </rPr>
      <t>鑽桿傳遞貫入能量的效率</t>
    </r>
    <r>
      <rPr>
        <sz val="12"/>
        <rFont val="Times New Roman"/>
        <family val="1"/>
      </rPr>
      <t>) (%)</t>
    </r>
    <phoneticPr fontId="2" type="noConversion"/>
  </si>
  <si>
    <t>LPI</t>
    <phoneticPr fontId="2" type="noConversion"/>
  </si>
  <si>
    <t>Wi</t>
    <phoneticPr fontId="2" type="noConversion"/>
  </si>
  <si>
    <r>
      <t xml:space="preserve">      </t>
    </r>
    <r>
      <rPr>
        <sz val="9"/>
        <color indexed="10"/>
        <rFont val="細明體"/>
        <family val="3"/>
        <charset val="136"/>
      </rPr>
      <t>本程式無償供各界使用，使用者應自行檢核分析結果之正確性。</t>
    </r>
    <phoneticPr fontId="2" type="noConversion"/>
  </si>
  <si>
    <r>
      <rPr>
        <sz val="12"/>
        <rFont val="新細明體"/>
        <family val="1"/>
        <charset val="136"/>
      </rPr>
      <t>計畫名稱</t>
    </r>
    <phoneticPr fontId="2" type="noConversion"/>
  </si>
  <si>
    <r>
      <t>σ</t>
    </r>
    <r>
      <rPr>
        <vertAlign val="subscript"/>
        <sz val="12"/>
        <rFont val="Arial"/>
        <family val="2"/>
      </rPr>
      <t>v</t>
    </r>
    <r>
      <rPr>
        <sz val="12"/>
        <rFont val="Arial"/>
        <family val="2"/>
      </rPr>
      <t>'
 (kPa)</t>
    </r>
    <phoneticPr fontId="2" type="noConversion"/>
  </si>
  <si>
    <r>
      <t>σ</t>
    </r>
    <r>
      <rPr>
        <vertAlign val="subscript"/>
        <sz val="12"/>
        <rFont val="Arial"/>
        <family val="2"/>
      </rPr>
      <t xml:space="preserve">v
</t>
    </r>
    <r>
      <rPr>
        <sz val="12"/>
        <rFont val="Arial"/>
        <family val="2"/>
      </rPr>
      <t xml:space="preserve"> (kPa)</t>
    </r>
    <phoneticPr fontId="2" type="noConversion"/>
  </si>
  <si>
    <t>x:</t>
    <phoneticPr fontId="2" type="noConversion"/>
  </si>
  <si>
    <t>y:</t>
    <phoneticPr fontId="2" type="noConversion"/>
  </si>
  <si>
    <r>
      <rPr>
        <sz val="12"/>
        <color rgb="FF0000FF"/>
        <rFont val="Times New Roman"/>
        <family val="1"/>
      </rPr>
      <t>LPI</t>
    </r>
    <r>
      <rPr>
        <sz val="12"/>
        <rFont val="Times New Roman"/>
        <family val="1"/>
      </rPr>
      <t xml:space="preserve"> (</t>
    </r>
    <r>
      <rPr>
        <sz val="12"/>
        <rFont val="細明體"/>
        <family val="3"/>
        <charset val="136"/>
      </rPr>
      <t>液化潛能指數</t>
    </r>
    <r>
      <rPr>
        <sz val="12"/>
        <rFont val="Times New Roman"/>
        <family val="1"/>
      </rPr>
      <t xml:space="preserve">) =  </t>
    </r>
    <r>
      <rPr>
        <sz val="12"/>
        <rFont val="MS PMincho"/>
        <family val="1"/>
        <charset val="128"/>
      </rPr>
      <t>∑</t>
    </r>
    <r>
      <rPr>
        <sz val="12"/>
        <rFont val="Times New Roman"/>
        <family val="1"/>
      </rPr>
      <t xml:space="preserve"> max(0, 1 - FS) x Wi  x </t>
    </r>
    <r>
      <rPr>
        <sz val="12"/>
        <rFont val="細明體"/>
        <family val="3"/>
        <charset val="136"/>
      </rPr>
      <t>土層厚度</t>
    </r>
    <phoneticPr fontId="2" type="noConversion"/>
  </si>
  <si>
    <r>
      <t xml:space="preserve">        </t>
    </r>
    <r>
      <rPr>
        <sz val="12"/>
        <rFont val="細明體"/>
        <family val="3"/>
        <charset val="136"/>
      </rPr>
      <t>其中</t>
    </r>
    <r>
      <rPr>
        <sz val="12"/>
        <rFont val="Times New Roman"/>
        <family val="1"/>
      </rPr>
      <t xml:space="preserve"> </t>
    </r>
    <r>
      <rPr>
        <sz val="12"/>
        <color rgb="FF0000FF"/>
        <rFont val="Times New Roman"/>
        <family val="1"/>
      </rPr>
      <t>z</t>
    </r>
    <r>
      <rPr>
        <sz val="12"/>
        <rFont val="Times New Roman"/>
        <family val="1"/>
      </rPr>
      <t xml:space="preserve"> </t>
    </r>
    <r>
      <rPr>
        <sz val="12"/>
        <rFont val="細明體"/>
        <family val="3"/>
        <charset val="136"/>
      </rPr>
      <t>為深度</t>
    </r>
    <r>
      <rPr>
        <sz val="12"/>
        <rFont val="Times New Roman"/>
        <family val="1"/>
      </rPr>
      <t xml:space="preserve"> (m)</t>
    </r>
    <phoneticPr fontId="2" type="noConversion"/>
  </si>
  <si>
    <r>
      <rPr>
        <sz val="12"/>
        <color rgb="FF0000FF"/>
        <rFont val="Times New Roman"/>
        <family val="1"/>
      </rPr>
      <t>(N</t>
    </r>
    <r>
      <rPr>
        <vertAlign val="subscript"/>
        <sz val="12"/>
        <color rgb="FF0000FF"/>
        <rFont val="Times New Roman"/>
        <family val="1"/>
      </rPr>
      <t>1</t>
    </r>
    <r>
      <rPr>
        <sz val="12"/>
        <color rgb="FF0000FF"/>
        <rFont val="Times New Roman"/>
        <family val="1"/>
      </rPr>
      <t>)</t>
    </r>
    <r>
      <rPr>
        <vertAlign val="subscript"/>
        <sz val="12"/>
        <color rgb="FF0000FF"/>
        <rFont val="Times New Roman"/>
        <family val="1"/>
      </rPr>
      <t>60cs</t>
    </r>
    <r>
      <rPr>
        <sz val="12"/>
        <rFont val="Times New Roman"/>
        <family val="1"/>
      </rPr>
      <t xml:space="preserve"> = Ks x (N</t>
    </r>
    <r>
      <rPr>
        <vertAlign val="subscript"/>
        <sz val="12"/>
        <rFont val="Times New Roman"/>
        <family val="1"/>
      </rPr>
      <t>1</t>
    </r>
    <r>
      <rPr>
        <sz val="12"/>
        <rFont val="Times New Roman"/>
        <family val="1"/>
      </rPr>
      <t>)</t>
    </r>
    <r>
      <rPr>
        <vertAlign val="subscript"/>
        <sz val="12"/>
        <rFont val="Times New Roman"/>
        <family val="1"/>
      </rPr>
      <t>60</t>
    </r>
    <r>
      <rPr>
        <sz val="12"/>
        <rFont val="新細明體"/>
        <family val="1"/>
        <charset val="136"/>
      </rPr>
      <t/>
    </r>
    <phoneticPr fontId="2" type="noConversion"/>
  </si>
  <si>
    <r>
      <t xml:space="preserve">    </t>
    </r>
    <r>
      <rPr>
        <sz val="12"/>
        <rFont val="細明體"/>
        <family val="3"/>
        <charset val="136"/>
      </rPr>
      <t>其中</t>
    </r>
    <r>
      <rPr>
        <sz val="12"/>
        <rFont val="Times New Roman"/>
        <family val="1"/>
      </rPr>
      <t xml:space="preserve"> Ks = 1</t>
    </r>
    <phoneticPr fontId="2" type="noConversion"/>
  </si>
  <si>
    <r>
      <t xml:space="preserve">For FC </t>
    </r>
    <r>
      <rPr>
        <sz val="12"/>
        <rFont val="Batang"/>
        <family val="1"/>
        <charset val="129"/>
      </rPr>
      <t>≤</t>
    </r>
    <r>
      <rPr>
        <sz val="12"/>
        <rFont val="Times New Roman"/>
        <family val="1"/>
      </rPr>
      <t xml:space="preserve"> 10%</t>
    </r>
    <phoneticPr fontId="2" type="noConversion"/>
  </si>
  <si>
    <r>
      <t xml:space="preserve">                  = 1 + 0.07 x </t>
    </r>
    <r>
      <rPr>
        <sz val="12"/>
        <rFont val="細明體"/>
        <family val="3"/>
        <charset val="136"/>
      </rPr>
      <t>√</t>
    </r>
    <r>
      <rPr>
        <sz val="12"/>
        <rFont val="Times New Roman"/>
        <family val="1"/>
      </rPr>
      <t>(FC - 10)</t>
    </r>
    <phoneticPr fontId="2" type="noConversion"/>
  </si>
  <si>
    <t>For 10% &lt; FC</t>
    <phoneticPr fontId="2" type="noConversion"/>
  </si>
  <si>
    <r>
      <t xml:space="preserve">    </t>
    </r>
    <r>
      <rPr>
        <sz val="12"/>
        <rFont val="細明體"/>
        <family val="3"/>
        <charset val="136"/>
      </rPr>
      <t>其中</t>
    </r>
    <r>
      <rPr>
        <sz val="12"/>
        <rFont val="Times New Roman"/>
        <family val="1"/>
      </rPr>
      <t xml:space="preserve"> A (</t>
    </r>
    <r>
      <rPr>
        <sz val="12"/>
        <rFont val="細明體"/>
        <family val="3"/>
        <charset val="136"/>
      </rPr>
      <t>土壤抗液化強度最低值</t>
    </r>
    <r>
      <rPr>
        <sz val="12"/>
        <rFont val="Times New Roman"/>
        <family val="1"/>
      </rPr>
      <t>CRR</t>
    </r>
    <r>
      <rPr>
        <vertAlign val="subscript"/>
        <sz val="12"/>
        <rFont val="Times New Roman"/>
        <family val="1"/>
      </rPr>
      <t>min</t>
    </r>
    <r>
      <rPr>
        <sz val="12"/>
        <rFont val="Times New Roman"/>
        <family val="1"/>
      </rPr>
      <t>) = 0.08</t>
    </r>
    <phoneticPr fontId="2" type="noConversion"/>
  </si>
  <si>
    <r>
      <t xml:space="preserve">             B (</t>
    </r>
    <r>
      <rPr>
        <sz val="12"/>
        <rFont val="細明體"/>
        <family val="3"/>
        <charset val="136"/>
      </rPr>
      <t>強度隨</t>
    </r>
    <r>
      <rPr>
        <sz val="12"/>
        <rFont val="Times New Roman"/>
        <family val="1"/>
      </rPr>
      <t>(N</t>
    </r>
    <r>
      <rPr>
        <vertAlign val="subscript"/>
        <sz val="12"/>
        <rFont val="Times New Roman"/>
        <family val="1"/>
      </rPr>
      <t>1</t>
    </r>
    <r>
      <rPr>
        <sz val="12"/>
        <rFont val="Times New Roman"/>
        <family val="1"/>
      </rPr>
      <t>)</t>
    </r>
    <r>
      <rPr>
        <vertAlign val="subscript"/>
        <sz val="12"/>
        <rFont val="Times New Roman"/>
        <family val="1"/>
      </rPr>
      <t>60cs</t>
    </r>
    <r>
      <rPr>
        <sz val="12"/>
        <rFont val="細明體"/>
        <family val="3"/>
        <charset val="136"/>
      </rPr>
      <t>的增加程度</t>
    </r>
    <r>
      <rPr>
        <sz val="12"/>
        <rFont val="Times New Roman"/>
        <family val="1"/>
      </rPr>
      <t>) = 0.0035</t>
    </r>
    <phoneticPr fontId="2" type="noConversion"/>
  </si>
  <si>
    <r>
      <t xml:space="preserve">             C (</t>
    </r>
    <r>
      <rPr>
        <sz val="12"/>
        <rFont val="細明體"/>
        <family val="3"/>
        <charset val="136"/>
      </rPr>
      <t>可能發生液化的</t>
    </r>
    <r>
      <rPr>
        <sz val="12"/>
        <rFont val="Times New Roman"/>
        <family val="1"/>
      </rPr>
      <t>(N</t>
    </r>
    <r>
      <rPr>
        <vertAlign val="subscript"/>
        <sz val="12"/>
        <rFont val="Times New Roman"/>
        <family val="1"/>
      </rPr>
      <t>1</t>
    </r>
    <r>
      <rPr>
        <sz val="12"/>
        <rFont val="Times New Roman"/>
        <family val="1"/>
      </rPr>
      <t>)</t>
    </r>
    <r>
      <rPr>
        <vertAlign val="subscript"/>
        <sz val="12"/>
        <rFont val="Times New Roman"/>
        <family val="1"/>
      </rPr>
      <t>60cs</t>
    </r>
    <r>
      <rPr>
        <sz val="12"/>
        <rFont val="細明體"/>
        <family val="3"/>
        <charset val="136"/>
      </rPr>
      <t>上限值</t>
    </r>
    <r>
      <rPr>
        <sz val="12"/>
        <rFont val="Times New Roman"/>
        <family val="1"/>
      </rPr>
      <t xml:space="preserve">) </t>
    </r>
    <r>
      <rPr>
        <sz val="12"/>
        <rFont val="FangSong"/>
        <family val="3"/>
        <charset val="134"/>
      </rPr>
      <t>≈</t>
    </r>
    <r>
      <rPr>
        <sz val="12"/>
        <rFont val="Times New Roman"/>
        <family val="1"/>
      </rPr>
      <t xml:space="preserve"> 39</t>
    </r>
    <phoneticPr fontId="2" type="noConversion"/>
  </si>
  <si>
    <r>
      <rPr>
        <sz val="12"/>
        <color rgb="FF0000FF"/>
        <rFont val="Times New Roman"/>
        <family val="1"/>
      </rPr>
      <t xml:space="preserve">    </t>
    </r>
    <r>
      <rPr>
        <sz val="12"/>
        <rFont val="細明體"/>
        <family val="3"/>
        <charset val="136"/>
      </rPr>
      <t>其中</t>
    </r>
    <r>
      <rPr>
        <sz val="12"/>
        <rFont val="Times New Roman"/>
        <family val="1"/>
      </rPr>
      <t xml:space="preserve"> </t>
    </r>
    <r>
      <rPr>
        <sz val="12"/>
        <color rgb="FF0000FF"/>
        <rFont val="Times New Roman"/>
        <family val="1"/>
      </rPr>
      <t>r</t>
    </r>
    <r>
      <rPr>
        <vertAlign val="subscript"/>
        <sz val="12"/>
        <color rgb="FF0000FF"/>
        <rFont val="Times New Roman"/>
        <family val="1"/>
      </rPr>
      <t>d</t>
    </r>
    <r>
      <rPr>
        <sz val="12"/>
        <rFont val="Times New Roman"/>
        <family val="1"/>
      </rPr>
      <t xml:space="preserve"> (</t>
    </r>
    <r>
      <rPr>
        <sz val="12"/>
        <rFont val="細明體"/>
        <family val="3"/>
        <charset val="136"/>
      </rPr>
      <t>應力折減因子</t>
    </r>
    <r>
      <rPr>
        <sz val="12"/>
        <rFont val="Times New Roman"/>
        <family val="1"/>
      </rPr>
      <t>) = 1 - 0.01z</t>
    </r>
    <phoneticPr fontId="2" type="noConversion"/>
  </si>
  <si>
    <r>
      <t xml:space="preserve">For z </t>
    </r>
    <r>
      <rPr>
        <sz val="12"/>
        <rFont val="Batang"/>
        <family val="1"/>
        <charset val="129"/>
      </rPr>
      <t>≤</t>
    </r>
    <r>
      <rPr>
        <sz val="12"/>
        <rFont val="Times New Roman"/>
        <family val="1"/>
      </rPr>
      <t xml:space="preserve"> 10m</t>
    </r>
    <phoneticPr fontId="2" type="noConversion"/>
  </si>
  <si>
    <r>
      <rPr>
        <sz val="12"/>
        <rFont val="新細明體"/>
        <family val="1"/>
        <charset val="136"/>
      </rPr>
      <t xml:space="preserve">單位重
</t>
    </r>
    <r>
      <rPr>
        <sz val="12"/>
        <rFont val="Times New Roman"/>
        <family val="1"/>
      </rPr>
      <t>(kN/m</t>
    </r>
    <r>
      <rPr>
        <vertAlign val="superscript"/>
        <sz val="12"/>
        <rFont val="Times New Roman"/>
        <family val="1"/>
      </rPr>
      <t>3</t>
    </r>
    <r>
      <rPr>
        <sz val="12"/>
        <rFont val="Times New Roman"/>
        <family val="1"/>
      </rPr>
      <t>)</t>
    </r>
    <phoneticPr fontId="2" type="noConversion"/>
  </si>
  <si>
    <r>
      <rPr>
        <sz val="12"/>
        <color rgb="FF0000FF"/>
        <rFont val="Times New Roman"/>
        <family val="1"/>
      </rPr>
      <t>Wi</t>
    </r>
    <r>
      <rPr>
        <sz val="12"/>
        <rFont val="Times New Roman"/>
        <family val="1"/>
      </rPr>
      <t xml:space="preserve"> (</t>
    </r>
    <r>
      <rPr>
        <sz val="12"/>
        <rFont val="細明體"/>
        <family val="3"/>
        <charset val="136"/>
      </rPr>
      <t>深度權重因子</t>
    </r>
    <r>
      <rPr>
        <sz val="12"/>
        <rFont val="Times New Roman"/>
        <family val="1"/>
      </rPr>
      <t>) = 10 - 0.5z</t>
    </r>
    <phoneticPr fontId="2" type="noConversion"/>
  </si>
  <si>
    <r>
      <rPr>
        <sz val="12"/>
        <color rgb="FF0000FF"/>
        <rFont val="Times New Roman"/>
        <family val="1"/>
      </rPr>
      <t>CSR</t>
    </r>
    <r>
      <rPr>
        <sz val="12"/>
        <rFont val="Times New Roman"/>
        <family val="1"/>
      </rPr>
      <t xml:space="preserve"> (</t>
    </r>
    <r>
      <rPr>
        <sz val="12"/>
        <rFont val="細明體"/>
        <family val="3"/>
        <charset val="136"/>
      </rPr>
      <t>反覆剪應力比</t>
    </r>
    <r>
      <rPr>
        <sz val="12"/>
        <rFont val="Times New Roman"/>
        <family val="1"/>
      </rPr>
      <t>) = 0.65 x (a</t>
    </r>
    <r>
      <rPr>
        <vertAlign val="subscript"/>
        <sz val="12"/>
        <rFont val="Times New Roman"/>
        <family val="1"/>
      </rPr>
      <t>max</t>
    </r>
    <r>
      <rPr>
        <sz val="12"/>
        <rFont val="Times New Roman"/>
        <family val="1"/>
      </rPr>
      <t xml:space="preserve"> / g) x (σ</t>
    </r>
    <r>
      <rPr>
        <vertAlign val="subscript"/>
        <sz val="12"/>
        <rFont val="Times New Roman"/>
        <family val="1"/>
      </rPr>
      <t>v</t>
    </r>
    <r>
      <rPr>
        <sz val="12"/>
        <rFont val="Times New Roman"/>
        <family val="1"/>
      </rPr>
      <t xml:space="preserve"> / σ</t>
    </r>
    <r>
      <rPr>
        <vertAlign val="subscript"/>
        <sz val="12"/>
        <rFont val="Times New Roman"/>
        <family val="1"/>
      </rPr>
      <t>v</t>
    </r>
    <r>
      <rPr>
        <sz val="12"/>
        <rFont val="Times New Roman"/>
        <family val="1"/>
      </rPr>
      <t>') x r</t>
    </r>
    <r>
      <rPr>
        <vertAlign val="subscript"/>
        <sz val="12"/>
        <rFont val="Times New Roman"/>
        <family val="1"/>
      </rPr>
      <t>d</t>
    </r>
    <phoneticPr fontId="2" type="noConversion"/>
  </si>
  <si>
    <r>
      <rPr>
        <sz val="12"/>
        <color rgb="FF0000FF"/>
        <rFont val="Times New Roman"/>
        <family val="1"/>
      </rPr>
      <t>CRR</t>
    </r>
    <r>
      <rPr>
        <sz val="12"/>
        <rFont val="Times New Roman"/>
        <family val="1"/>
      </rPr>
      <t xml:space="preserve"> (</t>
    </r>
    <r>
      <rPr>
        <sz val="12"/>
        <rFont val="細明體"/>
        <family val="3"/>
        <charset val="136"/>
      </rPr>
      <t>抗液化強度</t>
    </r>
    <r>
      <rPr>
        <sz val="12"/>
        <rFont val="Times New Roman"/>
        <family val="1"/>
      </rPr>
      <t>) = CRR</t>
    </r>
    <r>
      <rPr>
        <vertAlign val="subscript"/>
        <sz val="12"/>
        <rFont val="Times New Roman"/>
        <family val="1"/>
      </rPr>
      <t>7.5</t>
    </r>
    <r>
      <rPr>
        <sz val="12"/>
        <rFont val="Times New Roman"/>
        <family val="1"/>
      </rPr>
      <t xml:space="preserve"> x MSF</t>
    </r>
    <phoneticPr fontId="2" type="noConversion"/>
  </si>
  <si>
    <r>
      <rPr>
        <sz val="12"/>
        <color rgb="FF0000FF"/>
        <rFont val="Times New Roman"/>
        <family val="1"/>
      </rPr>
      <t>FS</t>
    </r>
    <r>
      <rPr>
        <sz val="12"/>
        <rFont val="Times New Roman"/>
        <family val="1"/>
      </rPr>
      <t xml:space="preserve"> (</t>
    </r>
    <r>
      <rPr>
        <sz val="12"/>
        <rFont val="細明體"/>
        <family val="3"/>
        <charset val="136"/>
      </rPr>
      <t>抗液化安全係數</t>
    </r>
    <r>
      <rPr>
        <sz val="12"/>
        <rFont val="Times New Roman"/>
        <family val="1"/>
      </rPr>
      <t>) = CRR / CSR</t>
    </r>
    <phoneticPr fontId="2" type="noConversion"/>
  </si>
  <si>
    <r>
      <rPr>
        <sz val="12"/>
        <rFont val="細明體"/>
        <family val="3"/>
        <charset val="136"/>
      </rPr>
      <t xml:space="preserve">土層中點
</t>
    </r>
    <r>
      <rPr>
        <sz val="12"/>
        <rFont val="Times New Roman"/>
        <family val="1"/>
      </rPr>
      <t>(m)</t>
    </r>
    <phoneticPr fontId="2" type="noConversion"/>
  </si>
  <si>
    <t>SM</t>
  </si>
  <si>
    <t>CL</t>
  </si>
  <si>
    <t>統一
土壤分類</t>
    <phoneticPr fontId="2" type="noConversion"/>
  </si>
  <si>
    <r>
      <t>N</t>
    </r>
    <r>
      <rPr>
        <sz val="12"/>
        <rFont val="細明體"/>
        <family val="3"/>
        <charset val="136"/>
      </rPr>
      <t>值</t>
    </r>
    <phoneticPr fontId="2" type="noConversion"/>
  </si>
  <si>
    <t>▼</t>
  </si>
  <si>
    <t>請輸入所有黃底之儲存格後，點選右側按鈕啟動巨集以更新輸出資料。</t>
    <phoneticPr fontId="2" type="noConversion"/>
  </si>
  <si>
    <t>FS</t>
    <phoneticPr fontId="2" type="noConversion"/>
  </si>
  <si>
    <t>中小地震</t>
    <phoneticPr fontId="2" type="noConversion"/>
  </si>
  <si>
    <t>設計地震</t>
    <phoneticPr fontId="2" type="noConversion"/>
  </si>
  <si>
    <t>最大地震</t>
    <phoneticPr fontId="2" type="noConversion"/>
  </si>
  <si>
    <t>設計地震</t>
    <phoneticPr fontId="2" type="noConversion"/>
  </si>
  <si>
    <r>
      <rPr>
        <sz val="11"/>
        <rFont val="細明體"/>
        <family val="3"/>
        <charset val="136"/>
      </rPr>
      <t>分析單位</t>
    </r>
    <r>
      <rPr>
        <sz val="11"/>
        <rFont val="Arial"/>
        <family val="2"/>
      </rPr>
      <t>(</t>
    </r>
    <r>
      <rPr>
        <sz val="11"/>
        <rFont val="細明體"/>
        <family val="3"/>
        <charset val="136"/>
      </rPr>
      <t>人員</t>
    </r>
    <r>
      <rPr>
        <sz val="11"/>
        <rFont val="Arial"/>
        <family val="2"/>
      </rPr>
      <t>)</t>
    </r>
  </si>
  <si>
    <t>For 10m &lt; z &lt; 20m</t>
    <phoneticPr fontId="2" type="noConversion"/>
  </si>
  <si>
    <r>
      <t xml:space="preserve">        </t>
    </r>
    <r>
      <rPr>
        <sz val="12"/>
        <rFont val="新細明體"/>
        <family val="1"/>
        <charset val="136"/>
      </rPr>
      <t>其中</t>
    </r>
    <r>
      <rPr>
        <sz val="12"/>
        <rFont val="Times New Roman"/>
        <family val="1"/>
      </rPr>
      <t xml:space="preserve"> N</t>
    </r>
    <r>
      <rPr>
        <sz val="12"/>
        <rFont val="新細明體"/>
        <family val="1"/>
        <charset val="136"/>
      </rPr>
      <t>為現地</t>
    </r>
    <r>
      <rPr>
        <sz val="12"/>
        <rFont val="Times New Roman"/>
        <family val="1"/>
      </rPr>
      <t>SPT-N</t>
    </r>
    <r>
      <rPr>
        <sz val="12"/>
        <rFont val="新細明體"/>
        <family val="1"/>
        <charset val="136"/>
      </rPr>
      <t>值</t>
    </r>
    <phoneticPr fontId="2" type="noConversion"/>
  </si>
  <si>
    <r>
      <t xml:space="preserve">                E</t>
    </r>
    <r>
      <rPr>
        <vertAlign val="subscript"/>
        <sz val="12"/>
        <rFont val="Times New Roman"/>
        <family val="1"/>
      </rPr>
      <t>m</t>
    </r>
    <r>
      <rPr>
        <sz val="12"/>
        <rFont val="新細明體"/>
        <family val="1"/>
        <charset val="136"/>
      </rPr>
      <t>為鑽桿傳遞貫入能量的效率</t>
    </r>
    <phoneticPr fontId="2" type="noConversion"/>
  </si>
  <si>
    <r>
      <rPr>
        <sz val="12"/>
        <color rgb="FF0000FF"/>
        <rFont val="Times New Roman"/>
        <family val="1"/>
      </rPr>
      <t>N</t>
    </r>
    <r>
      <rPr>
        <vertAlign val="subscript"/>
        <sz val="12"/>
        <color rgb="FF0000FF"/>
        <rFont val="Times New Roman"/>
        <family val="1"/>
      </rPr>
      <t>60</t>
    </r>
    <r>
      <rPr>
        <sz val="12"/>
        <rFont val="Times New Roman"/>
        <family val="1"/>
      </rPr>
      <t xml:space="preserve"> (</t>
    </r>
    <r>
      <rPr>
        <sz val="12"/>
        <rFont val="細明體"/>
        <family val="3"/>
        <charset val="136"/>
      </rPr>
      <t>修正鑽桿傳遞貫入能量效率為</t>
    </r>
    <r>
      <rPr>
        <sz val="12"/>
        <rFont val="Times New Roman"/>
        <family val="1"/>
      </rPr>
      <t>60%</t>
    </r>
    <r>
      <rPr>
        <sz val="12"/>
        <rFont val="細明體"/>
        <family val="3"/>
        <charset val="136"/>
      </rPr>
      <t>下之</t>
    </r>
    <r>
      <rPr>
        <sz val="12"/>
        <rFont val="Times New Roman"/>
        <family val="1"/>
      </rPr>
      <t>SPT-N) = N x E</t>
    </r>
    <r>
      <rPr>
        <vertAlign val="subscript"/>
        <sz val="12"/>
        <rFont val="Times New Roman"/>
        <family val="1"/>
      </rPr>
      <t>m</t>
    </r>
    <r>
      <rPr>
        <sz val="12"/>
        <rFont val="Times New Roman"/>
        <family val="1"/>
      </rPr>
      <t xml:space="preserve"> / 60</t>
    </r>
    <phoneticPr fontId="2" type="noConversion"/>
  </si>
  <si>
    <r>
      <rPr>
        <sz val="12"/>
        <rFont val="新細明體"/>
        <family val="1"/>
        <charset val="136"/>
      </rPr>
      <t>鑽孔編號</t>
    </r>
    <phoneticPr fontId="2" type="noConversion"/>
  </si>
  <si>
    <r>
      <rPr>
        <sz val="12"/>
        <rFont val="新細明體"/>
        <family val="1"/>
        <charset val="136"/>
      </rPr>
      <t>座標</t>
    </r>
    <r>
      <rPr>
        <sz val="12"/>
        <rFont val="Times New Roman"/>
        <family val="1"/>
      </rPr>
      <t>(TWD97)</t>
    </r>
    <phoneticPr fontId="2" type="noConversion"/>
  </si>
  <si>
    <r>
      <t>x</t>
    </r>
    <r>
      <rPr>
        <sz val="12"/>
        <rFont val="新細明體"/>
        <family val="1"/>
        <charset val="136"/>
      </rPr>
      <t>：</t>
    </r>
    <phoneticPr fontId="2" type="noConversion"/>
  </si>
  <si>
    <r>
      <t>y</t>
    </r>
    <r>
      <rPr>
        <sz val="12"/>
        <rFont val="新細明體"/>
        <family val="1"/>
        <charset val="136"/>
      </rPr>
      <t>：</t>
    </r>
    <phoneticPr fontId="2" type="noConversion"/>
  </si>
  <si>
    <r>
      <rPr>
        <sz val="12"/>
        <rFont val="新細明體"/>
        <family val="1"/>
        <charset val="136"/>
      </rPr>
      <t>分析單位</t>
    </r>
    <r>
      <rPr>
        <sz val="12"/>
        <rFont val="Times New Roman"/>
        <family val="1"/>
      </rPr>
      <t>(</t>
    </r>
    <r>
      <rPr>
        <sz val="12"/>
        <rFont val="新細明體"/>
        <family val="1"/>
        <charset val="136"/>
      </rPr>
      <t>人員</t>
    </r>
    <r>
      <rPr>
        <sz val="12"/>
        <rFont val="Times New Roman"/>
        <family val="1"/>
      </rPr>
      <t>)</t>
    </r>
    <phoneticPr fontId="2" type="noConversion"/>
  </si>
  <si>
    <t>0   10   20    30</t>
    <phoneticPr fontId="2" type="noConversion"/>
  </si>
  <si>
    <t>0.0  1.0  2.0 3.0</t>
    <phoneticPr fontId="2" type="noConversion"/>
  </si>
  <si>
    <r>
      <rPr>
        <sz val="12"/>
        <color rgb="FF0000FF"/>
        <rFont val="Times New Roman"/>
        <family val="1"/>
      </rPr>
      <t>(N</t>
    </r>
    <r>
      <rPr>
        <vertAlign val="subscript"/>
        <sz val="12"/>
        <color rgb="FF0000FF"/>
        <rFont val="Times New Roman"/>
        <family val="1"/>
      </rPr>
      <t>1</t>
    </r>
    <r>
      <rPr>
        <sz val="12"/>
        <color rgb="FF0000FF"/>
        <rFont val="Times New Roman"/>
        <family val="1"/>
      </rPr>
      <t>)</t>
    </r>
    <r>
      <rPr>
        <vertAlign val="subscript"/>
        <sz val="12"/>
        <color rgb="FF0000FF"/>
        <rFont val="Times New Roman"/>
        <family val="1"/>
      </rPr>
      <t>60</t>
    </r>
    <r>
      <rPr>
        <sz val="12"/>
        <rFont val="新細明體"/>
        <family val="1"/>
        <charset val="136"/>
      </rPr>
      <t xml:space="preserve"> (正規化標準貫入阻抗)</t>
    </r>
    <r>
      <rPr>
        <sz val="12"/>
        <rFont val="Times New Roman"/>
        <family val="1"/>
      </rPr>
      <t>= C</t>
    </r>
    <r>
      <rPr>
        <vertAlign val="subscript"/>
        <sz val="12"/>
        <rFont val="Times New Roman"/>
        <family val="1"/>
      </rPr>
      <t>N</t>
    </r>
    <r>
      <rPr>
        <sz val="12"/>
        <rFont val="Times New Roman"/>
        <family val="1"/>
      </rPr>
      <t xml:space="preserve"> x N</t>
    </r>
    <r>
      <rPr>
        <vertAlign val="subscript"/>
        <sz val="12"/>
        <rFont val="Times New Roman"/>
        <family val="1"/>
      </rPr>
      <t>60</t>
    </r>
    <phoneticPr fontId="2" type="noConversion"/>
  </si>
  <si>
    <t>PI</t>
    <phoneticPr fontId="2" type="noConversion"/>
  </si>
  <si>
    <r>
      <t>D</t>
    </r>
    <r>
      <rPr>
        <vertAlign val="subscript"/>
        <sz val="12"/>
        <rFont val="Times New Roman"/>
        <family val="1"/>
      </rPr>
      <t xml:space="preserve">10
</t>
    </r>
    <r>
      <rPr>
        <sz val="12"/>
        <rFont val="Times New Roman"/>
        <family val="1"/>
      </rPr>
      <t>(mm)</t>
    </r>
    <phoneticPr fontId="2" type="noConversion"/>
  </si>
  <si>
    <r>
      <t xml:space="preserve">    </t>
    </r>
    <r>
      <rPr>
        <sz val="12"/>
        <rFont val="細明體"/>
        <family val="3"/>
        <charset val="136"/>
      </rPr>
      <t>若土層為黏土層，或是位於地下水位以上，</t>
    </r>
    <r>
      <rPr>
        <sz val="12"/>
        <rFont val="Times New Roman"/>
        <family val="1"/>
      </rPr>
      <t>(N</t>
    </r>
    <r>
      <rPr>
        <vertAlign val="subscript"/>
        <sz val="12"/>
        <rFont val="Times New Roman"/>
        <family val="1"/>
      </rPr>
      <t>1</t>
    </r>
    <r>
      <rPr>
        <sz val="12"/>
        <rFont val="Times New Roman"/>
        <family val="1"/>
      </rPr>
      <t>)</t>
    </r>
    <r>
      <rPr>
        <vertAlign val="subscript"/>
        <sz val="12"/>
        <rFont val="Times New Roman"/>
        <family val="1"/>
      </rPr>
      <t>60cs</t>
    </r>
    <r>
      <rPr>
        <sz val="12"/>
        <rFont val="細明體"/>
        <family val="3"/>
        <charset val="136"/>
      </rPr>
      <t>大於</t>
    </r>
    <r>
      <rPr>
        <sz val="12"/>
        <rFont val="Times New Roman"/>
        <family val="1"/>
      </rPr>
      <t>39</t>
    </r>
    <r>
      <rPr>
        <sz val="12"/>
        <rFont val="細明體"/>
        <family val="3"/>
        <charset val="136"/>
      </rPr>
      <t>，則判斷為不液化，儲存格顯示</t>
    </r>
    <r>
      <rPr>
        <sz val="12"/>
        <rFont val="Times New Roman"/>
        <family val="1"/>
      </rPr>
      <t>"</t>
    </r>
    <r>
      <rPr>
        <sz val="12"/>
        <rFont val="細明體"/>
        <family val="3"/>
        <charset val="136"/>
      </rPr>
      <t>－</t>
    </r>
    <r>
      <rPr>
        <sz val="12"/>
        <rFont val="Times New Roman"/>
        <family val="1"/>
      </rPr>
      <t>"</t>
    </r>
    <phoneticPr fontId="2" type="noConversion"/>
  </si>
  <si>
    <r>
      <t>中小地震</t>
    </r>
    <r>
      <rPr>
        <sz val="8"/>
        <color theme="0"/>
        <rFont val="細明體"/>
        <family val="3"/>
        <charset val="136"/>
      </rPr>
      <t>(與設計地震重覆計算參數直接參照，不重覆計算)</t>
    </r>
    <phoneticPr fontId="2" type="noConversion"/>
  </si>
  <si>
    <r>
      <t>最大地震</t>
    </r>
    <r>
      <rPr>
        <sz val="8"/>
        <color theme="0"/>
        <rFont val="細明體"/>
        <family val="3"/>
        <charset val="136"/>
      </rPr>
      <t>(與設計地震重覆計算參數直接參照，不重覆計算)</t>
    </r>
    <phoneticPr fontId="2" type="noConversion"/>
  </si>
  <si>
    <t xml:space="preserve">                                            = 1.2 - 0.03z</t>
    <phoneticPr fontId="2" type="noConversion"/>
  </si>
  <si>
    <r>
      <rPr>
        <sz val="12"/>
        <color rgb="FF0000FF"/>
        <rFont val="Times New Roman"/>
        <family val="1"/>
      </rPr>
      <t>CRR</t>
    </r>
    <r>
      <rPr>
        <vertAlign val="subscript"/>
        <sz val="12"/>
        <color rgb="FF0000FF"/>
        <rFont val="Times New Roman"/>
        <family val="1"/>
      </rPr>
      <t xml:space="preserve">7.5 </t>
    </r>
    <r>
      <rPr>
        <sz val="12"/>
        <rFont val="Times New Roman"/>
        <family val="1"/>
      </rPr>
      <t>(</t>
    </r>
    <r>
      <rPr>
        <sz val="12"/>
        <rFont val="新細明體"/>
        <family val="1"/>
        <charset val="136"/>
      </rPr>
      <t>地震規模</t>
    </r>
    <r>
      <rPr>
        <sz val="12"/>
        <rFont val="Times New Roman"/>
        <family val="1"/>
      </rPr>
      <t>7.5</t>
    </r>
    <r>
      <rPr>
        <sz val="12"/>
        <rFont val="新細明體"/>
        <family val="1"/>
        <charset val="136"/>
      </rPr>
      <t>下之抗液化強度</t>
    </r>
    <r>
      <rPr>
        <sz val="12"/>
        <rFont val="Times New Roman"/>
        <family val="1"/>
      </rPr>
      <t>) = A + [B x (N</t>
    </r>
    <r>
      <rPr>
        <vertAlign val="subscript"/>
        <sz val="12"/>
        <rFont val="Times New Roman"/>
        <family val="1"/>
      </rPr>
      <t>1</t>
    </r>
    <r>
      <rPr>
        <sz val="12"/>
        <rFont val="Times New Roman"/>
        <family val="1"/>
      </rPr>
      <t>)</t>
    </r>
    <r>
      <rPr>
        <vertAlign val="subscript"/>
        <sz val="12"/>
        <rFont val="Times New Roman"/>
        <family val="1"/>
      </rPr>
      <t>60cs</t>
    </r>
    <r>
      <rPr>
        <sz val="12"/>
        <rFont val="Times New Roman"/>
        <family val="1"/>
      </rPr>
      <t xml:space="preserve"> ]/[ 1- (N</t>
    </r>
    <r>
      <rPr>
        <vertAlign val="subscript"/>
        <sz val="12"/>
        <rFont val="Times New Roman"/>
        <family val="1"/>
      </rPr>
      <t>1</t>
    </r>
    <r>
      <rPr>
        <sz val="12"/>
        <rFont val="Times New Roman"/>
        <family val="1"/>
      </rPr>
      <t>)</t>
    </r>
    <r>
      <rPr>
        <vertAlign val="subscript"/>
        <sz val="12"/>
        <rFont val="Times New Roman"/>
        <family val="1"/>
      </rPr>
      <t>60cs</t>
    </r>
    <r>
      <rPr>
        <sz val="12"/>
        <rFont val="Times New Roman"/>
        <family val="1"/>
      </rPr>
      <t xml:space="preserve"> / C]</t>
    </r>
    <phoneticPr fontId="2" type="noConversion"/>
  </si>
  <si>
    <t>CRR</t>
    <phoneticPr fontId="2" type="noConversion"/>
  </si>
  <si>
    <t>CSR</t>
    <phoneticPr fontId="2" type="noConversion"/>
  </si>
  <si>
    <t>ML</t>
  </si>
  <si>
    <r>
      <rPr>
        <b/>
        <sz val="13"/>
        <color indexed="12"/>
        <rFont val="新細明體"/>
        <family val="1"/>
        <charset val="136"/>
      </rPr>
      <t>本</t>
    </r>
    <r>
      <rPr>
        <b/>
        <sz val="13"/>
        <color indexed="12"/>
        <rFont val="Times New Roman"/>
        <family val="1"/>
      </rPr>
      <t>Excel</t>
    </r>
    <r>
      <rPr>
        <b/>
        <sz val="13"/>
        <color indexed="12"/>
        <rFont val="新細明體"/>
        <family val="1"/>
        <charset val="136"/>
      </rPr>
      <t>程式係以</t>
    </r>
    <r>
      <rPr>
        <b/>
        <sz val="13"/>
        <color indexed="12"/>
        <rFont val="Times New Roman"/>
        <family val="1"/>
      </rPr>
      <t>SPT</t>
    </r>
    <r>
      <rPr>
        <b/>
        <sz val="13"/>
        <color indexed="12"/>
        <rFont val="新細明體"/>
        <family val="1"/>
        <charset val="136"/>
      </rPr>
      <t>液化評估法，針對單一鑽孔內各土層，進行</t>
    </r>
    <r>
      <rPr>
        <b/>
        <sz val="13"/>
        <color indexed="12"/>
        <rFont val="Times New Roman"/>
        <family val="1"/>
      </rPr>
      <t>CRR</t>
    </r>
    <r>
      <rPr>
        <b/>
        <sz val="13"/>
        <color indexed="12"/>
        <rFont val="新細明體"/>
        <family val="1"/>
        <charset val="136"/>
      </rPr>
      <t>、</t>
    </r>
    <r>
      <rPr>
        <b/>
        <sz val="13"/>
        <color indexed="12"/>
        <rFont val="Times New Roman"/>
        <family val="1"/>
      </rPr>
      <t>CSR</t>
    </r>
    <r>
      <rPr>
        <b/>
        <sz val="13"/>
        <color indexed="12"/>
        <rFont val="新細明體"/>
        <family val="1"/>
        <charset val="136"/>
      </rPr>
      <t>、</t>
    </r>
    <r>
      <rPr>
        <b/>
        <sz val="13"/>
        <color indexed="12"/>
        <rFont val="Times New Roman"/>
        <family val="1"/>
      </rPr>
      <t>FS</t>
    </r>
    <r>
      <rPr>
        <b/>
        <sz val="13"/>
        <color indexed="12"/>
        <rFont val="新細明體"/>
        <family val="1"/>
        <charset val="136"/>
      </rPr>
      <t>、</t>
    </r>
    <r>
      <rPr>
        <b/>
        <sz val="13"/>
        <color indexed="12"/>
        <rFont val="Times New Roman"/>
        <family val="1"/>
      </rPr>
      <t>LPI</t>
    </r>
    <r>
      <rPr>
        <b/>
        <sz val="13"/>
        <color indexed="12"/>
        <rFont val="新細明體"/>
        <family val="1"/>
        <charset val="136"/>
      </rPr>
      <t>之評估。</t>
    </r>
    <phoneticPr fontId="2" type="noConversion"/>
  </si>
  <si>
    <t>參數計算說明：</t>
  </si>
  <si>
    <r>
      <rPr>
        <sz val="12"/>
        <color rgb="FF0000FF"/>
        <rFont val="Times New Roman"/>
        <family val="1"/>
      </rPr>
      <t>MSF</t>
    </r>
    <r>
      <rPr>
        <sz val="12"/>
        <rFont val="Times New Roman"/>
        <family val="1"/>
      </rPr>
      <t xml:space="preserve"> (</t>
    </r>
    <r>
      <rPr>
        <sz val="12"/>
        <rFont val="細明體"/>
        <family val="3"/>
        <charset val="136"/>
      </rPr>
      <t>規模尺度因子</t>
    </r>
    <r>
      <rPr>
        <sz val="12"/>
        <rFont val="Times New Roman"/>
        <family val="1"/>
      </rPr>
      <t>) = (M</t>
    </r>
    <r>
      <rPr>
        <vertAlign val="subscript"/>
        <sz val="12"/>
        <rFont val="Times New Roman"/>
        <family val="1"/>
      </rPr>
      <t>w</t>
    </r>
    <r>
      <rPr>
        <sz val="12"/>
        <rFont val="Times New Roman"/>
        <family val="1"/>
      </rPr>
      <t>/7.5)</t>
    </r>
    <r>
      <rPr>
        <vertAlign val="superscript"/>
        <sz val="12"/>
        <rFont val="Times New Roman"/>
        <family val="1"/>
      </rPr>
      <t xml:space="preserve">-1.8     </t>
    </r>
    <r>
      <rPr>
        <vertAlign val="superscript"/>
        <sz val="12"/>
        <color rgb="FFFF0000"/>
        <rFont val="Times New Roman"/>
        <family val="1"/>
      </rPr>
      <t xml:space="preserve"> </t>
    </r>
    <r>
      <rPr>
        <sz val="12"/>
        <color rgb="FFFF0000"/>
        <rFont val="新細明體"/>
        <family val="1"/>
        <charset val="136"/>
      </rPr>
      <t>(依據2016土壤液化評估方法研討會結論後修正)</t>
    </r>
    <phoneticPr fontId="2" type="noConversion"/>
  </si>
  <si>
    <r>
      <rPr>
        <sz val="12"/>
        <rFont val="華康細圓體"/>
        <family val="3"/>
        <charset val="136"/>
      </rPr>
      <t>計畫名稱</t>
    </r>
    <phoneticPr fontId="2" type="noConversion"/>
  </si>
  <si>
    <r>
      <rPr>
        <sz val="12"/>
        <rFont val="新細明體"/>
        <family val="1"/>
        <charset val="136"/>
      </rPr>
      <t>鑽孔編號</t>
    </r>
    <phoneticPr fontId="2" type="noConversion"/>
  </si>
  <si>
    <r>
      <rPr>
        <sz val="12"/>
        <rFont val="新細明體"/>
        <family val="1"/>
        <charset val="136"/>
      </rPr>
      <t>分析方式</t>
    </r>
  </si>
  <si>
    <r>
      <rPr>
        <sz val="12"/>
        <rFont val="新細明體"/>
        <family val="1"/>
        <charset val="136"/>
      </rPr>
      <t>分析地下水位</t>
    </r>
    <phoneticPr fontId="2" type="noConversion"/>
  </si>
  <si>
    <r>
      <rPr>
        <sz val="12"/>
        <rFont val="華康細圓體"/>
        <family val="3"/>
        <charset val="136"/>
      </rPr>
      <t>深度</t>
    </r>
    <r>
      <rPr>
        <sz val="12"/>
        <rFont val="Arial"/>
        <family val="2"/>
      </rPr>
      <t>(m)</t>
    </r>
    <phoneticPr fontId="2" type="noConversion"/>
  </si>
  <si>
    <r>
      <rPr>
        <sz val="12"/>
        <rFont val="華康細圓體"/>
        <family val="3"/>
        <charset val="136"/>
      </rPr>
      <t>柱狀圖</t>
    </r>
    <phoneticPr fontId="2" type="noConversion"/>
  </si>
  <si>
    <r>
      <t>SPT-N</t>
    </r>
    <r>
      <rPr>
        <sz val="12"/>
        <rFont val="華康細圓體"/>
        <family val="3"/>
        <charset val="136"/>
      </rPr>
      <t>值</t>
    </r>
    <phoneticPr fontId="2" type="noConversion"/>
  </si>
  <si>
    <r>
      <rPr>
        <sz val="12"/>
        <rFont val="華康細圓體"/>
        <family val="3"/>
        <charset val="136"/>
      </rPr>
      <t xml:space="preserve">計算
深度
</t>
    </r>
    <r>
      <rPr>
        <sz val="12"/>
        <rFont val="Arial"/>
        <family val="2"/>
      </rPr>
      <t>(m)</t>
    </r>
    <phoneticPr fontId="2" type="noConversion"/>
  </si>
  <si>
    <r>
      <rPr>
        <sz val="12"/>
        <rFont val="華康細圓體"/>
        <family val="3"/>
        <charset val="136"/>
      </rPr>
      <t>基本資料</t>
    </r>
    <phoneticPr fontId="2" type="noConversion"/>
  </si>
  <si>
    <r>
      <rPr>
        <sz val="12"/>
        <rFont val="華康細圓體"/>
        <family val="3"/>
        <charset val="136"/>
      </rPr>
      <t>安全係數</t>
    </r>
    <r>
      <rPr>
        <sz val="12"/>
        <rFont val="Arial"/>
        <family val="2"/>
      </rPr>
      <t>(FS)</t>
    </r>
    <phoneticPr fontId="2" type="noConversion"/>
  </si>
  <si>
    <r>
      <t>γ</t>
    </r>
    <r>
      <rPr>
        <vertAlign val="subscript"/>
        <sz val="8.4"/>
        <rFont val="Arial"/>
        <family val="2"/>
      </rPr>
      <t xml:space="preserve">t
</t>
    </r>
    <r>
      <rPr>
        <sz val="12"/>
        <rFont val="Arial"/>
        <family val="2"/>
      </rPr>
      <t>(kN/m</t>
    </r>
    <r>
      <rPr>
        <vertAlign val="superscript"/>
        <sz val="12"/>
        <rFont val="Arial"/>
        <family val="2"/>
      </rPr>
      <t>3</t>
    </r>
    <r>
      <rPr>
        <sz val="12"/>
        <rFont val="Arial"/>
        <family val="2"/>
      </rPr>
      <t>)</t>
    </r>
    <phoneticPr fontId="2" type="noConversion"/>
  </si>
  <si>
    <r>
      <rPr>
        <sz val="12"/>
        <rFont val="新細明體"/>
        <family val="1"/>
        <charset val="136"/>
      </rPr>
      <t>總和</t>
    </r>
    <phoneticPr fontId="2" type="noConversion"/>
  </si>
  <si>
    <r>
      <t xml:space="preserve">    </t>
    </r>
    <r>
      <rPr>
        <sz val="12"/>
        <rFont val="新細明體"/>
        <family val="1"/>
        <charset val="136"/>
      </rPr>
      <t>本程式所編輯之</t>
    </r>
    <r>
      <rPr>
        <sz val="12"/>
        <rFont val="Times New Roman"/>
        <family val="1"/>
      </rPr>
      <t>SPT</t>
    </r>
    <r>
      <rPr>
        <sz val="12"/>
        <rFont val="新細明體"/>
        <family val="1"/>
        <charset val="136"/>
      </rPr>
      <t>液化評估法為黃俊鴻等人所發展之本土</t>
    </r>
    <r>
      <rPr>
        <sz val="12"/>
        <rFont val="Times New Roman"/>
        <family val="1"/>
      </rPr>
      <t>HBF</t>
    </r>
    <r>
      <rPr>
        <sz val="12"/>
        <rFont val="新細明體"/>
        <family val="1"/>
        <charset val="136"/>
      </rPr>
      <t>法，程式之理論背景詳見黃俊鴻等</t>
    </r>
    <r>
      <rPr>
        <sz val="12"/>
        <rFont val="Times New Roman"/>
        <family val="1"/>
      </rPr>
      <t>(2005)</t>
    </r>
    <r>
      <rPr>
        <sz val="12"/>
        <rFont val="新細明體"/>
        <family val="1"/>
        <charset val="136"/>
      </rPr>
      <t>及黃俊鴻等</t>
    </r>
    <r>
      <rPr>
        <sz val="12"/>
        <rFont val="Times New Roman"/>
        <family val="1"/>
      </rPr>
      <t>(2012)</t>
    </r>
    <r>
      <rPr>
        <sz val="12"/>
        <rFont val="新細明體"/>
        <family val="1"/>
        <charset val="136"/>
      </rPr>
      <t>。</t>
    </r>
    <phoneticPr fontId="2" type="noConversion"/>
  </si>
  <si>
    <r>
      <t xml:space="preserve">     </t>
    </r>
    <r>
      <rPr>
        <sz val="11"/>
        <color indexed="17"/>
        <rFont val="細明體"/>
        <family val="3"/>
        <charset val="136"/>
      </rPr>
      <t>程式開發單位</t>
    </r>
    <r>
      <rPr>
        <sz val="11"/>
        <color indexed="17"/>
        <rFont val="Times New Roman"/>
        <family val="1"/>
      </rPr>
      <t>/</t>
    </r>
    <r>
      <rPr>
        <sz val="11"/>
        <color indexed="17"/>
        <rFont val="細明體"/>
        <family val="3"/>
        <charset val="136"/>
      </rPr>
      <t>人員：國家地震工程研究中心</t>
    </r>
    <r>
      <rPr>
        <sz val="11"/>
        <color indexed="17"/>
        <rFont val="Times New Roman"/>
        <family val="1"/>
      </rPr>
      <t xml:space="preserve"> </t>
    </r>
    <r>
      <rPr>
        <sz val="11"/>
        <color indexed="17"/>
        <rFont val="細明體"/>
        <family val="3"/>
        <charset val="136"/>
      </rPr>
      <t>盧志杰</t>
    </r>
    <phoneticPr fontId="2" type="noConversion"/>
  </si>
  <si>
    <t>程式開發：國家地震工程研究中心</t>
    <phoneticPr fontId="2" type="noConversion"/>
  </si>
  <si>
    <t>國震中心SPT液化評估方法測試案例</t>
    <phoneticPr fontId="2" type="noConversion"/>
  </si>
  <si>
    <t>TEST-1</t>
    <phoneticPr fontId="2" type="noConversion"/>
  </si>
  <si>
    <t>國家地震工程研究中心 盧志杰</t>
    <phoneticPr fontId="2" type="noConversion"/>
  </si>
  <si>
    <t>縣、市</t>
  </si>
  <si>
    <t>基隆市、新北市、台北市、宜蘭縣市、花蓮縣市、台東縣市</t>
  </si>
  <si>
    <t>新竹縣市、苗栗縣市、屏東縣市</t>
  </si>
  <si>
    <t>澎湖縣、金門地區、馬祖地區</t>
  </si>
  <si>
    <t>不同等級地震下各地區建議之土壤液化潛能評估地震規模</t>
    <phoneticPr fontId="2" type="noConversion"/>
  </si>
  <si>
    <r>
      <t>中小</t>
    </r>
    <r>
      <rPr>
        <sz val="12"/>
        <rFont val="新細明體"/>
        <family val="1"/>
        <charset val="136"/>
      </rPr>
      <t>震度之地震規模</t>
    </r>
    <phoneticPr fontId="2" type="noConversion"/>
  </si>
  <si>
    <r>
      <t>設計</t>
    </r>
    <r>
      <rPr>
        <sz val="12"/>
        <rFont val="新細明體"/>
        <family val="1"/>
        <charset val="136"/>
      </rPr>
      <t>震度之地震規模</t>
    </r>
    <phoneticPr fontId="2" type="noConversion"/>
  </si>
  <si>
    <r>
      <t>最大考量</t>
    </r>
    <r>
      <rPr>
        <sz val="12"/>
        <rFont val="新細明體"/>
        <family val="1"/>
        <charset val="136"/>
      </rPr>
      <t>震度之地震規模</t>
    </r>
    <phoneticPr fontId="2" type="noConversion"/>
  </si>
  <si>
    <t>桃園市、台中市、彰化縣市、南投縣市、雲林縣、嘉義縣市、台南市、高雄市</t>
    <phoneticPr fontId="2" type="noConversion"/>
  </si>
  <si>
    <r>
      <t xml:space="preserve">    </t>
    </r>
    <r>
      <rPr>
        <sz val="12"/>
        <rFont val="新細明體"/>
        <family val="1"/>
        <charset val="136"/>
      </rPr>
      <t>本程式對於地下水位以上，以及屬黏性土壤之土層均不進行計算，該土層之液化安全係數將直接設定為</t>
    </r>
    <r>
      <rPr>
        <sz val="12"/>
        <rFont val="Times New Roman"/>
        <family val="1"/>
      </rPr>
      <t>3.0</t>
    </r>
    <r>
      <rPr>
        <sz val="12"/>
        <rFont val="新細明體"/>
        <family val="1"/>
        <charset val="136"/>
      </rPr>
      <t>。</t>
    </r>
    <phoneticPr fontId="2" type="noConversion"/>
  </si>
  <si>
    <r>
      <t>GWT</t>
    </r>
    <r>
      <rPr>
        <vertAlign val="subscript"/>
        <sz val="12"/>
        <rFont val="Times New Roman"/>
        <family val="1"/>
      </rPr>
      <t>CSR</t>
    </r>
    <r>
      <rPr>
        <sz val="12"/>
        <rFont val="Times New Roman"/>
        <family val="1"/>
      </rPr>
      <t xml:space="preserve"> (</t>
    </r>
    <r>
      <rPr>
        <sz val="12"/>
        <rFont val="新細明體"/>
        <family val="1"/>
        <charset val="136"/>
      </rPr>
      <t>分析地下水位</t>
    </r>
    <r>
      <rPr>
        <sz val="12"/>
        <rFont val="Times New Roman"/>
        <family val="1"/>
      </rPr>
      <t>) (m)</t>
    </r>
    <phoneticPr fontId="2" type="noConversion"/>
  </si>
  <si>
    <r>
      <t>GWT</t>
    </r>
    <r>
      <rPr>
        <vertAlign val="subscript"/>
        <sz val="12"/>
        <rFont val="Times New Roman"/>
        <family val="1"/>
      </rPr>
      <t>CRR</t>
    </r>
    <r>
      <rPr>
        <sz val="12"/>
        <rFont val="Times New Roman"/>
        <family val="1"/>
      </rPr>
      <t xml:space="preserve"> (</t>
    </r>
    <r>
      <rPr>
        <sz val="12"/>
        <rFont val="新細明體"/>
        <family val="1"/>
        <charset val="136"/>
      </rPr>
      <t>鑽探地下水位</t>
    </r>
    <r>
      <rPr>
        <sz val="12"/>
        <rFont val="Times New Roman"/>
        <family val="1"/>
      </rPr>
      <t>) (m)</t>
    </r>
    <phoneticPr fontId="2" type="noConversion"/>
  </si>
  <si>
    <r>
      <t>σ</t>
    </r>
    <r>
      <rPr>
        <vertAlign val="subscript"/>
        <sz val="12"/>
        <rFont val="Times New Roman"/>
        <family val="1"/>
      </rPr>
      <t>vCSR</t>
    </r>
    <r>
      <rPr>
        <sz val="12"/>
        <rFont val="Times New Roman"/>
        <family val="1"/>
      </rPr>
      <t>' 
(kPa)</t>
    </r>
    <phoneticPr fontId="2" type="noConversion"/>
  </si>
  <si>
    <r>
      <t>σ</t>
    </r>
    <r>
      <rPr>
        <vertAlign val="subscript"/>
        <sz val="12"/>
        <rFont val="Times New Roman"/>
        <family val="1"/>
      </rPr>
      <t>vCRR</t>
    </r>
    <r>
      <rPr>
        <sz val="12"/>
        <rFont val="Times New Roman"/>
        <family val="1"/>
      </rPr>
      <t>' 
(kPa)</t>
    </r>
    <phoneticPr fontId="2" type="noConversion"/>
  </si>
  <si>
    <r>
      <t xml:space="preserve">     </t>
    </r>
    <r>
      <rPr>
        <sz val="11"/>
        <color indexed="17"/>
        <rFont val="細明體"/>
        <family val="3"/>
        <charset val="136"/>
      </rPr>
      <t>顧問指導：陳正興、黃俊鴻、張睦雄</t>
    </r>
    <phoneticPr fontId="2" type="noConversion"/>
  </si>
  <si>
    <t xml:space="preserve">   HBF (2018)</t>
    <phoneticPr fontId="2" type="noConversion"/>
  </si>
  <si>
    <r>
      <t xml:space="preserve">        </t>
    </r>
    <r>
      <rPr>
        <sz val="12"/>
        <rFont val="新細明體"/>
        <family val="1"/>
        <charset val="136"/>
      </rPr>
      <t>其中</t>
    </r>
    <r>
      <rPr>
        <sz val="12"/>
        <rFont val="Times New Roman"/>
        <family val="1"/>
      </rPr>
      <t xml:space="preserve"> C</t>
    </r>
    <r>
      <rPr>
        <vertAlign val="subscript"/>
        <sz val="12"/>
        <rFont val="Times New Roman"/>
        <family val="1"/>
      </rPr>
      <t>N</t>
    </r>
    <r>
      <rPr>
        <sz val="12"/>
        <rFont val="Times New Roman"/>
        <family val="1"/>
      </rPr>
      <t xml:space="preserve"> = (P</t>
    </r>
    <r>
      <rPr>
        <vertAlign val="subscript"/>
        <sz val="12"/>
        <rFont val="Times New Roman"/>
        <family val="1"/>
      </rPr>
      <t>a</t>
    </r>
    <r>
      <rPr>
        <sz val="12"/>
        <rFont val="Times New Roman"/>
        <family val="1"/>
      </rPr>
      <t xml:space="preserve"> /σ</t>
    </r>
    <r>
      <rPr>
        <vertAlign val="subscript"/>
        <sz val="12"/>
        <rFont val="Times New Roman"/>
        <family val="1"/>
      </rPr>
      <t>v</t>
    </r>
    <r>
      <rPr>
        <sz val="12"/>
        <rFont val="Times New Roman"/>
        <family val="1"/>
      </rPr>
      <t>')</t>
    </r>
    <r>
      <rPr>
        <vertAlign val="superscript"/>
        <sz val="12"/>
        <rFont val="Times New Roman"/>
        <family val="1"/>
      </rPr>
      <t>0.5</t>
    </r>
    <r>
      <rPr>
        <sz val="12"/>
        <rFont val="Times New Roman"/>
        <family val="1"/>
      </rPr>
      <t xml:space="preserve"> </t>
    </r>
    <r>
      <rPr>
        <sz val="12"/>
        <rFont val="新細明體"/>
        <family val="1"/>
        <charset val="136"/>
      </rPr>
      <t>≦</t>
    </r>
    <r>
      <rPr>
        <sz val="12"/>
        <rFont val="Times New Roman"/>
        <family val="1"/>
      </rPr>
      <t xml:space="preserve"> </t>
    </r>
    <r>
      <rPr>
        <sz val="8.4"/>
        <rFont val="Times New Roman"/>
        <family val="1"/>
      </rPr>
      <t xml:space="preserve">1.7 </t>
    </r>
    <r>
      <rPr>
        <sz val="12"/>
        <rFont val="Times New Roman"/>
        <family val="1"/>
      </rPr>
      <t>(Pa = 101.325kPa)</t>
    </r>
    <phoneticPr fontId="2" type="noConversion"/>
  </si>
  <si>
    <r>
      <rPr>
        <sz val="12"/>
        <rFont val="細明體"/>
        <family val="3"/>
        <charset val="136"/>
      </rPr>
      <t>分析點</t>
    </r>
    <r>
      <rPr>
        <sz val="12"/>
        <rFont val="細明體"/>
        <family val="3"/>
        <charset val="136"/>
      </rPr>
      <t xml:space="preserve">
</t>
    </r>
    <r>
      <rPr>
        <sz val="12"/>
        <rFont val="Times New Roman"/>
        <family val="1"/>
      </rPr>
      <t>(m)</t>
    </r>
    <phoneticPr fontId="2" type="noConversion"/>
  </si>
  <si>
    <r>
      <t xml:space="preserve">     </t>
    </r>
    <r>
      <rPr>
        <sz val="11"/>
        <color indexed="17"/>
        <rFont val="細明體"/>
        <family val="3"/>
        <charset val="136"/>
      </rPr>
      <t>程式驗證人員：徐雅涵、李哲安、葉家宏、曾孝欽、李志剛、賴建名、蕭富元、鄒瑞卿、王俊翔</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</si>
</sst>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_ "/>
    <numFmt numFmtId="177" formatCode="0.00_);[Red]\(0.00\)"/>
    <numFmt numFmtId="178" formatCode="0.0_);[Red]\(0.0\)"/>
  </numFmts>
  <fonts count="43">
    <font>
      <sz val="12"/>
      <name val="新細明體"/>
      <family val="1"/>
      <charset val="136"/>
    </font>
    <font>
      <sz val="12"/>
      <name val="Times New Roman"/>
      <family val="1"/>
    </font>
    <font>
      <sz val="9"/>
      <name val="新細明體"/>
      <family val="1"/>
      <charset val="136"/>
    </font>
    <font>
      <sz val="12"/>
      <name val="Arial"/>
      <family val="2"/>
    </font>
    <font>
      <vertAlign val="superscript"/>
      <sz val="12"/>
      <name val="Arial"/>
      <family val="2"/>
    </font>
    <font>
      <vertAlign val="subscript"/>
      <sz val="12"/>
      <name val="Arial"/>
      <family val="2"/>
    </font>
    <font>
      <b/>
      <sz val="12"/>
      <name val="Arial"/>
      <family val="2"/>
    </font>
    <font>
      <sz val="12"/>
      <name val="華康細圓體"/>
      <family val="3"/>
      <charset val="136"/>
    </font>
    <font>
      <sz val="12"/>
      <name val="細明體"/>
      <family val="3"/>
      <charset val="136"/>
    </font>
    <font>
      <sz val="10"/>
      <name val="Arial"/>
      <family val="2"/>
    </font>
    <font>
      <sz val="12"/>
      <color indexed="12"/>
      <name val="Times New Roman"/>
      <family val="1"/>
    </font>
    <font>
      <sz val="9"/>
      <name val="Times New Roman"/>
      <family val="1"/>
    </font>
    <font>
      <sz val="9"/>
      <color indexed="10"/>
      <name val="Times New Roman"/>
      <family val="1"/>
    </font>
    <font>
      <sz val="10"/>
      <name val="Times New Roman"/>
      <family val="1"/>
    </font>
    <font>
      <vertAlign val="superscript"/>
      <sz val="12"/>
      <name val="Times New Roman"/>
      <family val="1"/>
    </font>
    <font>
      <vertAlign val="subscript"/>
      <sz val="12"/>
      <name val="Times New Roman"/>
      <family val="1"/>
    </font>
    <font>
      <sz val="9"/>
      <color indexed="10"/>
      <name val="細明體"/>
      <family val="3"/>
      <charset val="136"/>
    </font>
    <font>
      <b/>
      <sz val="13"/>
      <color indexed="12"/>
      <name val="Times New Roman"/>
      <family val="1"/>
    </font>
    <font>
      <b/>
      <sz val="13"/>
      <color indexed="12"/>
      <name val="新細明體"/>
      <family val="1"/>
      <charset val="136"/>
    </font>
    <font>
      <sz val="11"/>
      <color indexed="17"/>
      <name val="細明體"/>
      <family val="3"/>
      <charset val="136"/>
    </font>
    <font>
      <sz val="1"/>
      <name val="Arial"/>
      <family val="2"/>
    </font>
    <font>
      <sz val="11"/>
      <color rgb="FF006600"/>
      <name val="Times New Roman"/>
      <family val="1"/>
    </font>
    <font>
      <sz val="12"/>
      <color theme="0"/>
      <name val="新細明體"/>
      <family val="1"/>
      <charset val="136"/>
    </font>
    <font>
      <u/>
      <sz val="8"/>
      <name val="Arial"/>
      <family val="2"/>
    </font>
    <font>
      <sz val="12"/>
      <color rgb="FF0000FF"/>
      <name val="Times New Roman"/>
      <family val="1"/>
    </font>
    <font>
      <vertAlign val="subscript"/>
      <sz val="12"/>
      <color rgb="FF0000FF"/>
      <name val="Times New Roman"/>
      <family val="1"/>
    </font>
    <font>
      <sz val="12"/>
      <name val="MS PMincho"/>
      <family val="1"/>
      <charset val="128"/>
    </font>
    <font>
      <sz val="12"/>
      <name val="Batang"/>
      <family val="1"/>
      <charset val="129"/>
    </font>
    <font>
      <sz val="12"/>
      <name val="FangSong"/>
      <family val="3"/>
      <charset val="134"/>
    </font>
    <font>
      <u/>
      <sz val="8"/>
      <color rgb="FF0000FF"/>
      <name val="Times New Roman"/>
      <family val="1"/>
    </font>
    <font>
      <sz val="9"/>
      <name val="細明體"/>
      <family val="3"/>
      <charset val="136"/>
    </font>
    <font>
      <sz val="12"/>
      <color theme="0"/>
      <name val="細明體"/>
      <family val="3"/>
      <charset val="136"/>
    </font>
    <font>
      <sz val="11"/>
      <name val="Arial"/>
      <family val="2"/>
    </font>
    <font>
      <sz val="11"/>
      <name val="細明體"/>
      <family val="3"/>
      <charset val="136"/>
    </font>
    <font>
      <sz val="11"/>
      <name val="Times New Roman"/>
      <family val="1"/>
    </font>
    <font>
      <sz val="8.4"/>
      <name val="Times New Roman"/>
      <family val="1"/>
    </font>
    <font>
      <sz val="8"/>
      <color theme="0"/>
      <name val="細明體"/>
      <family val="3"/>
      <charset val="136"/>
    </font>
    <font>
      <vertAlign val="superscript"/>
      <sz val="12"/>
      <color rgb="FFFF0000"/>
      <name val="Times New Roman"/>
      <family val="1"/>
    </font>
    <font>
      <sz val="12"/>
      <color rgb="FFFF0000"/>
      <name val="新細明體"/>
      <family val="1"/>
      <charset val="136"/>
    </font>
    <font>
      <vertAlign val="subscript"/>
      <sz val="8.4"/>
      <name val="Arial"/>
      <family val="2"/>
    </font>
    <font>
      <b/>
      <u/>
      <sz val="8"/>
      <name val="Arial"/>
      <family val="2"/>
    </font>
    <font>
      <sz val="8"/>
      <name val="Arial"/>
      <family val="2"/>
    </font>
    <font>
      <sz val="11"/>
      <color indexed="17"/>
      <name val="Times New Roman"/>
      <family val="1"/>
    </font>
  </fonts>
  <fills count="7">
    <fill>
      <patternFill patternType="none"/>
    </fill>
    <fill>
      <patternFill patternType="gray125"/>
    </fill>
    <fill>
      <patternFill patternType="solid">
        <fgColor indexed="9"/>
        <bgColor indexed="64"/>
      </patternFill>
    </fill>
    <fill>
      <patternFill patternType="solid">
        <fgColor rgb="FFFFFFCC"/>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49998474074526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style="thin">
        <color indexed="64"/>
      </top>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s>
  <cellStyleXfs count="2">
    <xf numFmtId="0" fontId="0" fillId="0" borderId="0">
      <alignment vertical="center"/>
    </xf>
    <xf numFmtId="0" fontId="9" fillId="0" borderId="0" applyProtection="0"/>
  </cellStyleXfs>
  <cellXfs count="191">
    <xf numFmtId="0" fontId="0" fillId="0" borderId="0" xfId="0">
      <alignment vertical="center"/>
    </xf>
    <xf numFmtId="0" fontId="3" fillId="2" borderId="0" xfId="0" applyFont="1" applyFill="1" applyBorder="1">
      <alignment vertical="center"/>
    </xf>
    <xf numFmtId="0" fontId="3" fillId="2" borderId="0" xfId="0" applyFont="1" applyFill="1">
      <alignment vertical="center"/>
    </xf>
    <xf numFmtId="0" fontId="3" fillId="2" borderId="8" xfId="0" applyFont="1" applyFill="1" applyBorder="1" applyAlignment="1">
      <alignment vertical="center"/>
    </xf>
    <xf numFmtId="0" fontId="3" fillId="2" borderId="9" xfId="0" applyFont="1" applyFill="1" applyBorder="1" applyAlignment="1">
      <alignment vertical="center"/>
    </xf>
    <xf numFmtId="0" fontId="3" fillId="0" borderId="0" xfId="0" applyFont="1">
      <alignment vertical="center"/>
    </xf>
    <xf numFmtId="176" fontId="17" fillId="4" borderId="0" xfId="1" applyNumberFormat="1" applyFont="1" applyFill="1"/>
    <xf numFmtId="176" fontId="10" fillId="4" borderId="0" xfId="1" applyNumberFormat="1" applyFont="1" applyFill="1"/>
    <xf numFmtId="177" fontId="10" fillId="4" borderId="0" xfId="1" applyNumberFormat="1" applyFont="1" applyFill="1"/>
    <xf numFmtId="177" fontId="10" fillId="4" borderId="0" xfId="1" applyNumberFormat="1" applyFont="1" applyFill="1" applyAlignment="1">
      <alignment horizontal="center"/>
    </xf>
    <xf numFmtId="0" fontId="10" fillId="4" borderId="0" xfId="1" applyFont="1" applyFill="1" applyAlignment="1">
      <alignment horizontal="center"/>
    </xf>
    <xf numFmtId="0" fontId="1" fillId="4" borderId="0" xfId="0" applyFont="1" applyFill="1">
      <alignment vertical="center"/>
    </xf>
    <xf numFmtId="176" fontId="11" fillId="4" borderId="0" xfId="1" applyNumberFormat="1" applyFont="1" applyFill="1" applyBorder="1"/>
    <xf numFmtId="177" fontId="11" fillId="4" borderId="0" xfId="1" applyNumberFormat="1" applyFont="1" applyFill="1" applyBorder="1"/>
    <xf numFmtId="177" fontId="11" fillId="4" borderId="0" xfId="1" applyNumberFormat="1" applyFont="1" applyFill="1" applyBorder="1" applyAlignment="1">
      <alignment horizontal="center"/>
    </xf>
    <xf numFmtId="0" fontId="11" fillId="4" borderId="0" xfId="1" applyFont="1" applyFill="1" applyBorder="1" applyAlignment="1">
      <alignment horizontal="center"/>
    </xf>
    <xf numFmtId="176" fontId="1" fillId="4" borderId="0" xfId="1" applyNumberFormat="1" applyFont="1" applyFill="1" applyBorder="1"/>
    <xf numFmtId="177" fontId="1" fillId="4" borderId="0" xfId="1" applyNumberFormat="1" applyFont="1" applyFill="1" applyBorder="1"/>
    <xf numFmtId="177" fontId="1" fillId="4" borderId="0" xfId="1" applyNumberFormat="1" applyFont="1" applyFill="1" applyBorder="1" applyAlignment="1">
      <alignment horizontal="center"/>
    </xf>
    <xf numFmtId="0" fontId="1" fillId="4" borderId="0" xfId="1" applyFont="1" applyFill="1" applyBorder="1" applyAlignment="1">
      <alignment horizontal="center"/>
    </xf>
    <xf numFmtId="176" fontId="1" fillId="4" borderId="0" xfId="0" applyNumberFormat="1" applyFont="1" applyFill="1" applyAlignment="1">
      <alignment horizontal="left"/>
    </xf>
    <xf numFmtId="176" fontId="13" fillId="4" borderId="0" xfId="0" applyNumberFormat="1" applyFont="1" applyFill="1" applyAlignment="1">
      <alignment horizontal="center"/>
    </xf>
    <xf numFmtId="177" fontId="13" fillId="4" borderId="0" xfId="0" applyNumberFormat="1" applyFont="1" applyFill="1" applyAlignment="1">
      <alignment horizontal="center"/>
    </xf>
    <xf numFmtId="0" fontId="13" fillId="4" borderId="0" xfId="0" applyFont="1" applyFill="1" applyAlignment="1">
      <alignment horizontal="center"/>
    </xf>
    <xf numFmtId="176" fontId="13" fillId="4" borderId="0" xfId="0" applyNumberFormat="1" applyFont="1" applyFill="1" applyAlignment="1">
      <alignment horizontal="left"/>
    </xf>
    <xf numFmtId="176" fontId="1" fillId="4" borderId="0" xfId="0" applyNumberFormat="1" applyFont="1" applyFill="1" applyAlignment="1">
      <alignment horizontal="center"/>
    </xf>
    <xf numFmtId="0" fontId="1" fillId="4" borderId="1" xfId="0" applyFont="1" applyFill="1" applyBorder="1" applyAlignment="1">
      <alignment horizontal="center" vertical="center" wrapText="1"/>
    </xf>
    <xf numFmtId="177" fontId="1" fillId="4"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178" fontId="1" fillId="3" borderId="1" xfId="0" applyNumberFormat="1" applyFont="1" applyFill="1" applyBorder="1" applyAlignment="1">
      <alignment horizontal="center" vertical="center"/>
    </xf>
    <xf numFmtId="177" fontId="1" fillId="3" borderId="1" xfId="0" applyNumberFormat="1" applyFont="1" applyFill="1" applyBorder="1" applyAlignment="1">
      <alignment horizontal="center" vertical="center"/>
    </xf>
    <xf numFmtId="176" fontId="12" fillId="4" borderId="0" xfId="1" applyNumberFormat="1" applyFont="1" applyFill="1" applyBorder="1"/>
    <xf numFmtId="177" fontId="1" fillId="0" borderId="1" xfId="0" applyNumberFormat="1" applyFont="1" applyBorder="1" applyAlignment="1">
      <alignment horizontal="center" vertical="center"/>
    </xf>
    <xf numFmtId="176" fontId="21" fillId="4" borderId="0" xfId="1" applyNumberFormat="1" applyFont="1" applyFill="1" applyBorder="1"/>
    <xf numFmtId="0" fontId="1" fillId="4" borderId="1" xfId="0" applyFont="1" applyFill="1" applyBorder="1" applyAlignment="1">
      <alignment horizontal="center" vertical="center" wrapText="1"/>
    </xf>
    <xf numFmtId="0" fontId="8" fillId="4" borderId="0" xfId="0" applyFont="1" applyFill="1">
      <alignment vertical="center"/>
    </xf>
    <xf numFmtId="0" fontId="1" fillId="4" borderId="1" xfId="0" applyFont="1" applyFill="1" applyBorder="1" applyAlignment="1">
      <alignment horizontal="center" vertical="center"/>
    </xf>
    <xf numFmtId="0" fontId="1" fillId="3" borderId="1" xfId="0" applyFont="1" applyFill="1" applyBorder="1" applyAlignment="1">
      <alignment horizontal="center" vertical="center"/>
    </xf>
    <xf numFmtId="177" fontId="1" fillId="4" borderId="0" xfId="0" applyNumberFormat="1" applyFont="1" applyFill="1" applyBorder="1" applyAlignment="1">
      <alignment horizontal="center" vertical="center"/>
    </xf>
    <xf numFmtId="177" fontId="1" fillId="4" borderId="0" xfId="0" applyNumberFormat="1" applyFont="1" applyFill="1" applyBorder="1" applyAlignment="1">
      <alignment horizontal="left" vertical="center"/>
    </xf>
    <xf numFmtId="177" fontId="1" fillId="5" borderId="1" xfId="0" applyNumberFormat="1" applyFont="1" applyFill="1" applyBorder="1" applyAlignment="1">
      <alignment horizontal="center" vertical="center"/>
    </xf>
    <xf numFmtId="0" fontId="1" fillId="4" borderId="0" xfId="0" applyFont="1" applyFill="1" applyAlignment="1">
      <alignment horizontal="center" vertical="center"/>
    </xf>
    <xf numFmtId="0" fontId="1" fillId="5" borderId="1" xfId="0" applyFont="1" applyFill="1" applyBorder="1" applyAlignment="1">
      <alignment horizontal="center" vertical="center"/>
    </xf>
    <xf numFmtId="0" fontId="1" fillId="4" borderId="0" xfId="0" applyFont="1" applyFill="1" applyBorder="1">
      <alignment vertical="center"/>
    </xf>
    <xf numFmtId="0" fontId="0" fillId="4" borderId="1" xfId="0" applyFont="1" applyFill="1" applyBorder="1" applyAlignment="1">
      <alignment horizontal="center" vertical="center" wrapText="1"/>
    </xf>
    <xf numFmtId="2" fontId="1" fillId="4" borderId="0" xfId="0" applyNumberFormat="1" applyFont="1" applyFill="1" applyAlignment="1">
      <alignment horizontal="center" vertical="center"/>
    </xf>
    <xf numFmtId="0" fontId="3" fillId="2" borderId="13" xfId="0" applyFont="1" applyFill="1" applyBorder="1" applyAlignment="1">
      <alignment vertical="center"/>
    </xf>
    <xf numFmtId="0" fontId="20" fillId="2" borderId="0" xfId="0" applyFont="1" applyFill="1" applyBorder="1" applyAlignment="1">
      <alignment horizontal="center" vertical="center"/>
    </xf>
    <xf numFmtId="177" fontId="1" fillId="4" borderId="0" xfId="0" applyNumberFormat="1" applyFont="1" applyFill="1" applyBorder="1" applyAlignment="1">
      <alignment vertical="center"/>
    </xf>
    <xf numFmtId="0" fontId="1" fillId="4" borderId="0" xfId="0" applyFont="1" applyFill="1" applyBorder="1" applyAlignment="1">
      <alignment vertical="center"/>
    </xf>
    <xf numFmtId="0" fontId="1" fillId="4" borderId="0" xfId="0" applyFont="1" applyFill="1" applyBorder="1" applyAlignment="1">
      <alignment horizontal="left" vertical="center"/>
    </xf>
    <xf numFmtId="178" fontId="1" fillId="0" borderId="1" xfId="0" applyNumberFormat="1" applyFont="1" applyFill="1" applyBorder="1" applyAlignment="1">
      <alignment horizontal="center" vertical="center"/>
    </xf>
    <xf numFmtId="0" fontId="1" fillId="4" borderId="1" xfId="0" applyFont="1" applyFill="1" applyBorder="1" applyAlignment="1">
      <alignment horizontal="center" vertical="center" wrapText="1"/>
    </xf>
    <xf numFmtId="0" fontId="29" fillId="4" borderId="0" xfId="0" applyFont="1" applyFill="1" applyBorder="1" applyAlignment="1">
      <alignment horizontal="center" vertical="center"/>
    </xf>
    <xf numFmtId="2" fontId="3" fillId="2" borderId="0" xfId="0" applyNumberFormat="1" applyFont="1" applyFill="1" applyBorder="1">
      <alignment vertical="center"/>
    </xf>
    <xf numFmtId="0" fontId="3" fillId="4" borderId="0" xfId="0" applyFont="1" applyFill="1" applyBorder="1">
      <alignment vertical="center"/>
    </xf>
    <xf numFmtId="0" fontId="3" fillId="4" borderId="25" xfId="0" applyFont="1" applyFill="1" applyBorder="1">
      <alignment vertical="center"/>
    </xf>
    <xf numFmtId="0" fontId="30" fillId="4" borderId="0" xfId="0" applyFont="1" applyFill="1" applyAlignment="1">
      <alignment horizontal="center" vertical="center"/>
    </xf>
    <xf numFmtId="0" fontId="22" fillId="6" borderId="4" xfId="0" applyFont="1" applyFill="1" applyBorder="1" applyAlignment="1">
      <alignment horizontal="center" vertical="center"/>
    </xf>
    <xf numFmtId="0" fontId="3" fillId="2" borderId="0" xfId="0" applyFont="1" applyFill="1" applyBorder="1" applyAlignment="1">
      <alignment vertical="center"/>
    </xf>
    <xf numFmtId="0" fontId="8" fillId="4" borderId="0" xfId="0" applyFont="1" applyFill="1" applyBorder="1" applyAlignment="1">
      <alignment horizontal="left" vertical="center"/>
    </xf>
    <xf numFmtId="177" fontId="31" fillId="6" borderId="4" xfId="0" applyNumberFormat="1" applyFont="1" applyFill="1" applyBorder="1" applyAlignment="1">
      <alignment horizontal="left" vertical="center"/>
    </xf>
    <xf numFmtId="0" fontId="3" fillId="2" borderId="4" xfId="0" applyFont="1" applyFill="1" applyBorder="1" applyAlignment="1">
      <alignment horizontal="center" vertical="center" shrinkToFit="1"/>
    </xf>
    <xf numFmtId="0" fontId="3" fillId="2" borderId="4" xfId="0" applyFont="1" applyFill="1" applyBorder="1" applyAlignment="1">
      <alignment horizontal="right" vertical="center" shrinkToFit="1"/>
    </xf>
    <xf numFmtId="177" fontId="3" fillId="0" borderId="3" xfId="0" applyNumberFormat="1" applyFont="1" applyBorder="1" applyAlignment="1">
      <alignment horizontal="center" vertical="center" shrinkToFit="1"/>
    </xf>
    <xf numFmtId="0" fontId="3" fillId="0" borderId="3" xfId="0" applyFont="1" applyBorder="1" applyAlignment="1">
      <alignment horizontal="center" vertical="center" shrinkToFit="1"/>
    </xf>
    <xf numFmtId="0" fontId="3" fillId="0" borderId="3" xfId="0" applyFont="1" applyFill="1" applyBorder="1" applyAlignment="1">
      <alignment horizontal="center" vertical="center" shrinkToFit="1"/>
    </xf>
    <xf numFmtId="0" fontId="3" fillId="0" borderId="10" xfId="0" applyFont="1" applyFill="1" applyBorder="1" applyAlignment="1">
      <alignment vertical="center" shrinkToFit="1"/>
    </xf>
    <xf numFmtId="177" fontId="3" fillId="0" borderId="10" xfId="0" applyNumberFormat="1" applyFont="1" applyFill="1" applyBorder="1" applyAlignment="1">
      <alignment vertical="center" shrinkToFit="1"/>
    </xf>
    <xf numFmtId="178" fontId="3" fillId="0" borderId="10" xfId="0" applyNumberFormat="1" applyFont="1" applyFill="1" applyBorder="1" applyAlignment="1">
      <alignment horizontal="center" vertical="center" shrinkToFit="1"/>
    </xf>
    <xf numFmtId="177" fontId="6" fillId="0" borderId="10" xfId="0" applyNumberFormat="1" applyFont="1" applyFill="1" applyBorder="1" applyAlignment="1">
      <alignment horizontal="center" vertical="center" shrinkToFit="1"/>
    </xf>
    <xf numFmtId="0" fontId="1" fillId="4" borderId="0" xfId="0" applyFont="1" applyFill="1" applyAlignment="1">
      <alignment vertical="center" shrinkToFit="1"/>
    </xf>
    <xf numFmtId="0" fontId="1" fillId="3" borderId="27" xfId="0" applyFont="1" applyFill="1" applyBorder="1" applyAlignment="1">
      <alignment horizontal="center" vertical="center"/>
    </xf>
    <xf numFmtId="178" fontId="1" fillId="3" borderId="27" xfId="0" applyNumberFormat="1" applyFont="1" applyFill="1" applyBorder="1" applyAlignment="1">
      <alignment horizontal="center" vertical="center"/>
    </xf>
    <xf numFmtId="177" fontId="1" fillId="3" borderId="27" xfId="0" applyNumberFormat="1" applyFont="1" applyFill="1" applyBorder="1" applyAlignment="1">
      <alignment horizontal="center" vertical="center"/>
    </xf>
    <xf numFmtId="177" fontId="1" fillId="4" borderId="27" xfId="0" applyNumberFormat="1" applyFont="1" applyFill="1" applyBorder="1" applyAlignment="1">
      <alignment horizontal="center" vertical="center"/>
    </xf>
    <xf numFmtId="177" fontId="31" fillId="6" borderId="4" xfId="0" applyNumberFormat="1" applyFont="1" applyFill="1" applyBorder="1" applyAlignment="1">
      <alignment horizontal="left" vertical="center"/>
    </xf>
    <xf numFmtId="0" fontId="1" fillId="4" borderId="28" xfId="0" applyFont="1" applyFill="1" applyBorder="1" applyAlignment="1">
      <alignment horizontal="left" shrinkToFit="1"/>
    </xf>
    <xf numFmtId="0" fontId="1" fillId="4" borderId="28" xfId="0" applyFont="1" applyFill="1" applyBorder="1" applyAlignment="1">
      <alignment horizontal="right" shrinkToFit="1"/>
    </xf>
    <xf numFmtId="0" fontId="3" fillId="0" borderId="31" xfId="0" applyFont="1" applyFill="1" applyBorder="1">
      <alignment vertical="center"/>
    </xf>
    <xf numFmtId="0" fontId="3" fillId="2" borderId="32" xfId="0" applyFont="1" applyFill="1" applyBorder="1">
      <alignment vertical="center"/>
    </xf>
    <xf numFmtId="0" fontId="3" fillId="4" borderId="32" xfId="0" applyFont="1" applyFill="1" applyBorder="1">
      <alignment vertical="center"/>
    </xf>
    <xf numFmtId="0" fontId="3" fillId="4" borderId="33" xfId="0" applyFont="1" applyFill="1" applyBorder="1">
      <alignment vertical="center"/>
    </xf>
    <xf numFmtId="0" fontId="1" fillId="4" borderId="1" xfId="0" applyFont="1" applyFill="1" applyBorder="1" applyAlignment="1">
      <alignment horizontal="center" vertical="center" wrapText="1"/>
    </xf>
    <xf numFmtId="0" fontId="1" fillId="4" borderId="29" xfId="0" applyFont="1" applyFill="1" applyBorder="1" applyAlignment="1">
      <alignment horizontal="center" vertical="center"/>
    </xf>
    <xf numFmtId="0" fontId="1" fillId="3" borderId="29" xfId="0" applyFont="1" applyFill="1" applyBorder="1" applyAlignment="1">
      <alignment horizontal="center" vertical="center"/>
    </xf>
    <xf numFmtId="0" fontId="3" fillId="2" borderId="0" xfId="0" applyFont="1" applyFill="1" applyBorder="1" applyAlignment="1">
      <alignment vertical="center"/>
    </xf>
    <xf numFmtId="177" fontId="1" fillId="3" borderId="34" xfId="0" applyNumberFormat="1" applyFont="1" applyFill="1" applyBorder="1" applyAlignment="1" applyProtection="1">
      <alignment horizontal="center" shrinkToFit="1"/>
      <protection locked="0"/>
    </xf>
    <xf numFmtId="178" fontId="1" fillId="3" borderId="34" xfId="0" applyNumberFormat="1" applyFont="1" applyFill="1" applyBorder="1" applyAlignment="1" applyProtection="1">
      <alignment horizontal="center" shrinkToFit="1"/>
      <protection locked="0"/>
    </xf>
    <xf numFmtId="177" fontId="1" fillId="3" borderId="34" xfId="0" applyNumberFormat="1" applyFont="1" applyFill="1" applyBorder="1" applyAlignment="1">
      <alignment horizontal="center" shrinkToFit="1"/>
    </xf>
    <xf numFmtId="0" fontId="1" fillId="3" borderId="34" xfId="0" applyNumberFormat="1" applyFont="1" applyFill="1" applyBorder="1" applyAlignment="1">
      <alignment horizontal="center" shrinkToFit="1"/>
    </xf>
    <xf numFmtId="0" fontId="34" fillId="0" borderId="0" xfId="0" applyFont="1">
      <alignment vertical="center"/>
    </xf>
    <xf numFmtId="0" fontId="40" fillId="2" borderId="13" xfId="0" applyFont="1" applyFill="1" applyBorder="1" applyAlignment="1">
      <alignment horizontal="center"/>
    </xf>
    <xf numFmtId="0" fontId="3" fillId="4" borderId="14" xfId="0" applyFont="1" applyFill="1" applyBorder="1" applyAlignment="1">
      <alignment vertical="center"/>
    </xf>
    <xf numFmtId="0" fontId="3" fillId="4" borderId="0" xfId="0" applyFont="1" applyFill="1" applyBorder="1" applyAlignment="1">
      <alignment vertical="center"/>
    </xf>
    <xf numFmtId="0" fontId="3" fillId="2" borderId="35" xfId="0" applyFont="1" applyFill="1" applyBorder="1" applyAlignment="1">
      <alignment horizontal="center" vertical="center" wrapText="1"/>
    </xf>
    <xf numFmtId="0" fontId="34" fillId="4" borderId="0" xfId="0" applyFont="1" applyFill="1">
      <alignment vertical="center"/>
    </xf>
    <xf numFmtId="0" fontId="0" fillId="4" borderId="0" xfId="0" applyFont="1" applyFill="1" applyBorder="1" applyAlignment="1">
      <alignment horizontal="left" vertical="center"/>
    </xf>
    <xf numFmtId="0" fontId="0" fillId="0" borderId="37" xfId="0" applyFont="1" applyBorder="1" applyAlignment="1">
      <alignment horizontal="justify" vertical="center" wrapText="1"/>
    </xf>
    <xf numFmtId="0" fontId="0" fillId="0" borderId="37" xfId="0" applyFont="1" applyBorder="1" applyAlignment="1">
      <alignment horizontal="center" vertical="center" wrapText="1"/>
    </xf>
    <xf numFmtId="0" fontId="1" fillId="4" borderId="38" xfId="0" applyFont="1" applyFill="1" applyBorder="1" applyAlignment="1">
      <alignment horizontal="center" vertical="center" wrapText="1"/>
    </xf>
    <xf numFmtId="177" fontId="1" fillId="4" borderId="38" xfId="0" applyNumberFormat="1" applyFont="1" applyFill="1" applyBorder="1" applyAlignment="1">
      <alignment horizontal="center" vertical="center"/>
    </xf>
    <xf numFmtId="0" fontId="0" fillId="4" borderId="0" xfId="0" applyFill="1" applyBorder="1" applyAlignment="1">
      <alignment vertical="center"/>
    </xf>
    <xf numFmtId="0" fontId="29" fillId="4" borderId="15" xfId="0" applyFont="1" applyFill="1" applyBorder="1" applyAlignment="1">
      <alignment horizontal="center"/>
    </xf>
    <xf numFmtId="177" fontId="1" fillId="3" borderId="1" xfId="0" applyNumberFormat="1" applyFont="1" applyFill="1" applyBorder="1" applyAlignment="1" applyProtection="1">
      <alignment horizontal="center" vertical="center"/>
    </xf>
    <xf numFmtId="0" fontId="0" fillId="0" borderId="37" xfId="0" applyFont="1" applyBorder="1" applyAlignment="1">
      <alignment horizontal="center" vertical="center" wrapText="1"/>
    </xf>
    <xf numFmtId="0" fontId="0" fillId="0" borderId="37" xfId="0" applyBorder="1" applyAlignment="1">
      <alignment horizontal="center" vertical="center" wrapText="1"/>
    </xf>
    <xf numFmtId="0" fontId="0" fillId="0" borderId="37" xfId="0" applyFont="1" applyBorder="1" applyAlignment="1">
      <alignment horizontal="justify" vertical="center" wrapText="1"/>
    </xf>
    <xf numFmtId="0" fontId="0" fillId="0" borderId="37" xfId="0" applyBorder="1" applyAlignment="1">
      <alignment vertical="center" wrapText="1"/>
    </xf>
    <xf numFmtId="0" fontId="0" fillId="0" borderId="37" xfId="0" applyBorder="1" applyAlignment="1">
      <alignment horizontal="justify" vertical="center" wrapText="1"/>
    </xf>
    <xf numFmtId="0" fontId="1" fillId="4" borderId="34" xfId="0" applyFont="1" applyFill="1" applyBorder="1" applyAlignment="1">
      <alignment horizontal="left" shrinkToFit="1"/>
    </xf>
    <xf numFmtId="0" fontId="0" fillId="0" borderId="34" xfId="0" applyBorder="1" applyAlignment="1">
      <alignment horizontal="left" shrinkToFit="1"/>
    </xf>
    <xf numFmtId="0" fontId="1" fillId="4" borderId="38" xfId="0" applyFont="1" applyFill="1" applyBorder="1" applyAlignment="1">
      <alignment horizontal="left" shrinkToFit="1"/>
    </xf>
    <xf numFmtId="0" fontId="0" fillId="0" borderId="38" xfId="0" applyBorder="1" applyAlignment="1">
      <alignment horizontal="left" shrinkToFit="1"/>
    </xf>
    <xf numFmtId="176" fontId="0" fillId="3" borderId="0" xfId="0" applyNumberFormat="1" applyFill="1" applyAlignment="1">
      <alignment horizontal="left" shrinkToFit="1"/>
    </xf>
    <xf numFmtId="0" fontId="0" fillId="0" borderId="0" xfId="0" applyAlignment="1">
      <alignment vertical="center" shrinkToFit="1"/>
    </xf>
    <xf numFmtId="0" fontId="1" fillId="4" borderId="28" xfId="0" applyFont="1" applyFill="1" applyBorder="1" applyAlignment="1">
      <alignment horizontal="left" vertical="center" shrinkToFit="1"/>
    </xf>
    <xf numFmtId="0" fontId="0" fillId="0" borderId="28" xfId="0" applyBorder="1" applyAlignment="1">
      <alignment vertical="center"/>
    </xf>
    <xf numFmtId="0" fontId="8" fillId="3" borderId="28" xfId="0" applyFont="1" applyFill="1" applyBorder="1" applyAlignment="1">
      <alignment vertical="center" wrapText="1"/>
    </xf>
    <xf numFmtId="0" fontId="1" fillId="3" borderId="28" xfId="0" applyFont="1" applyFill="1" applyBorder="1" applyAlignment="1">
      <alignment vertical="center" wrapText="1"/>
    </xf>
    <xf numFmtId="0" fontId="0" fillId="0" borderId="28" xfId="0" applyBorder="1" applyAlignment="1">
      <alignment vertical="center" wrapText="1"/>
    </xf>
    <xf numFmtId="0" fontId="1" fillId="4" borderId="11" xfId="0" applyFont="1" applyFill="1" applyBorder="1" applyAlignment="1">
      <alignment horizontal="left" shrinkToFit="1"/>
    </xf>
    <xf numFmtId="0" fontId="1" fillId="4" borderId="6" xfId="0" applyFont="1" applyFill="1" applyBorder="1" applyAlignment="1">
      <alignment horizontal="left" shrinkToFit="1"/>
    </xf>
    <xf numFmtId="0" fontId="1" fillId="4" borderId="18" xfId="0" applyFont="1" applyFill="1" applyBorder="1" applyAlignment="1">
      <alignment horizontal="left" shrinkToFit="1"/>
    </xf>
    <xf numFmtId="0" fontId="1" fillId="4" borderId="1"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3" borderId="11" xfId="0" applyFont="1" applyFill="1" applyBorder="1" applyAlignment="1">
      <alignment horizontal="center" shrinkToFit="1"/>
    </xf>
    <xf numFmtId="0" fontId="0" fillId="0" borderId="18" xfId="0" applyBorder="1" applyAlignment="1">
      <alignment shrinkToFit="1"/>
    </xf>
    <xf numFmtId="0" fontId="1" fillId="4" borderId="11" xfId="0" applyFont="1" applyFill="1" applyBorder="1" applyAlignment="1">
      <alignment vertical="center" shrinkToFit="1"/>
    </xf>
    <xf numFmtId="0" fontId="0" fillId="0" borderId="18" xfId="0" applyBorder="1" applyAlignment="1">
      <alignment vertical="center" shrinkToFit="1"/>
    </xf>
    <xf numFmtId="0" fontId="8" fillId="3" borderId="11" xfId="0" applyFont="1" applyFill="1" applyBorder="1" applyAlignment="1">
      <alignment vertical="center" shrinkToFit="1"/>
    </xf>
    <xf numFmtId="0" fontId="0" fillId="0" borderId="6" xfId="0" applyBorder="1" applyAlignment="1">
      <alignment vertical="center" shrinkToFit="1"/>
    </xf>
    <xf numFmtId="0" fontId="1" fillId="3" borderId="11" xfId="0" applyFont="1" applyFill="1" applyBorder="1" applyAlignment="1">
      <alignment horizontal="left" shrinkToFit="1"/>
    </xf>
    <xf numFmtId="0" fontId="1" fillId="3" borderId="18" xfId="0" applyFont="1" applyFill="1" applyBorder="1" applyAlignment="1">
      <alignment horizontal="left" shrinkToFit="1"/>
    </xf>
    <xf numFmtId="177" fontId="8" fillId="4" borderId="0" xfId="0" applyNumberFormat="1" applyFont="1" applyFill="1" applyBorder="1" applyAlignment="1">
      <alignment horizontal="left" vertical="center"/>
    </xf>
    <xf numFmtId="0" fontId="0" fillId="4" borderId="0" xfId="0" applyFill="1" applyAlignment="1">
      <alignment horizontal="left" vertical="center"/>
    </xf>
    <xf numFmtId="0" fontId="3" fillId="0" borderId="21" xfId="0" applyFont="1" applyBorder="1" applyAlignment="1">
      <alignment horizontal="center" vertical="center" shrinkToFit="1"/>
    </xf>
    <xf numFmtId="0" fontId="3" fillId="0" borderId="22" xfId="0" applyFont="1" applyBorder="1" applyAlignment="1">
      <alignment horizontal="center" vertical="center" shrinkToFit="1"/>
    </xf>
    <xf numFmtId="0" fontId="29" fillId="4" borderId="2" xfId="0" applyFont="1" applyFill="1" applyBorder="1" applyAlignment="1">
      <alignment horizontal="center"/>
    </xf>
    <xf numFmtId="0" fontId="29" fillId="4" borderId="15" xfId="0" applyFont="1" applyFill="1" applyBorder="1" applyAlignment="1">
      <alignment horizontal="center"/>
    </xf>
    <xf numFmtId="0" fontId="3" fillId="0" borderId="6" xfId="0" applyFont="1" applyBorder="1" applyAlignment="1">
      <alignment horizontal="center" vertical="center" shrinkToFit="1"/>
    </xf>
    <xf numFmtId="0" fontId="9" fillId="2" borderId="12" xfId="0" quotePrefix="1" applyFont="1" applyFill="1" applyBorder="1" applyAlignment="1">
      <alignment horizontal="distributed" vertical="center"/>
    </xf>
    <xf numFmtId="0" fontId="9" fillId="0" borderId="13" xfId="0" applyFont="1" applyBorder="1" applyAlignment="1">
      <alignment horizontal="distributed" vertical="center"/>
    </xf>
    <xf numFmtId="0" fontId="9" fillId="0" borderId="26" xfId="0" applyFont="1" applyBorder="1" applyAlignment="1">
      <alignment horizontal="distributed" vertical="center"/>
    </xf>
    <xf numFmtId="0" fontId="3" fillId="2" borderId="23" xfId="0" applyFont="1" applyFill="1" applyBorder="1" applyAlignment="1">
      <alignment horizontal="left" vertical="center" shrinkToFit="1"/>
    </xf>
    <xf numFmtId="0" fontId="3" fillId="0" borderId="21" xfId="0" applyFont="1" applyBorder="1" applyAlignment="1">
      <alignment vertical="center" shrinkToFit="1"/>
    </xf>
    <xf numFmtId="0" fontId="3" fillId="0" borderId="24" xfId="0" applyFont="1" applyBorder="1" applyAlignment="1">
      <alignment vertical="center" shrinkToFit="1"/>
    </xf>
    <xf numFmtId="178" fontId="3" fillId="2" borderId="6" xfId="0" applyNumberFormat="1" applyFont="1" applyFill="1" applyBorder="1" applyAlignment="1">
      <alignment horizontal="left" vertical="center" shrinkToFit="1"/>
    </xf>
    <xf numFmtId="0" fontId="0" fillId="0" borderId="7" xfId="0" applyBorder="1" applyAlignment="1">
      <alignment vertical="center" shrinkToFit="1"/>
    </xf>
    <xf numFmtId="0" fontId="3" fillId="2" borderId="6" xfId="0" applyFont="1" applyFill="1" applyBorder="1" applyAlignment="1">
      <alignment horizontal="left" vertical="center" shrinkToFit="1"/>
    </xf>
    <xf numFmtId="177" fontId="3" fillId="0" borderId="39" xfId="0" applyNumberFormat="1" applyFont="1" applyBorder="1" applyAlignment="1">
      <alignment horizontal="center" vertical="center" shrinkToFit="1"/>
    </xf>
    <xf numFmtId="0" fontId="32" fillId="2" borderId="35" xfId="0" applyFont="1" applyFill="1" applyBorder="1" applyAlignment="1">
      <alignment horizontal="center" vertical="center" shrinkToFit="1"/>
    </xf>
    <xf numFmtId="0" fontId="3" fillId="0" borderId="35" xfId="0" applyFont="1" applyBorder="1" applyAlignment="1">
      <alignment horizontal="center" vertical="center" shrinkToFit="1"/>
    </xf>
    <xf numFmtId="0" fontId="3" fillId="2" borderId="20" xfId="0" applyFont="1" applyFill="1" applyBorder="1" applyAlignment="1">
      <alignment horizontal="center" vertical="center" shrinkToFit="1"/>
    </xf>
    <xf numFmtId="0" fontId="9" fillId="4" borderId="12" xfId="0" quotePrefix="1" applyFont="1" applyFill="1" applyBorder="1" applyAlignment="1">
      <alignment horizontal="distributed" vertical="center" shrinkToFit="1"/>
    </xf>
    <xf numFmtId="0" fontId="9" fillId="0" borderId="2" xfId="0" applyFont="1" applyBorder="1" applyAlignment="1">
      <alignment horizontal="distributed" vertical="center" shrinkToFit="1"/>
    </xf>
    <xf numFmtId="0" fontId="3" fillId="0" borderId="11" xfId="0" applyFont="1" applyBorder="1" applyAlignment="1">
      <alignment horizontal="center" vertical="center" shrinkToFit="1"/>
    </xf>
    <xf numFmtId="0" fontId="3" fillId="0" borderId="6" xfId="0" applyFont="1" applyBorder="1" applyAlignment="1">
      <alignment vertical="center" shrinkToFit="1"/>
    </xf>
    <xf numFmtId="0" fontId="3" fillId="2" borderId="23" xfId="0" applyFont="1" applyFill="1" applyBorder="1" applyAlignment="1">
      <alignment horizontal="left" vertical="center" wrapText="1" shrinkToFit="1"/>
    </xf>
    <xf numFmtId="0" fontId="3" fillId="0" borderId="21" xfId="0" applyFont="1" applyBorder="1" applyAlignment="1">
      <alignment horizontal="left" vertical="center" wrapText="1" shrinkToFit="1"/>
    </xf>
    <xf numFmtId="0" fontId="3" fillId="0" borderId="21" xfId="0" applyFont="1" applyBorder="1" applyAlignment="1">
      <alignment vertical="center" wrapText="1" shrinkToFit="1"/>
    </xf>
    <xf numFmtId="0" fontId="3" fillId="0" borderId="36" xfId="0" applyFont="1" applyBorder="1" applyAlignment="1">
      <alignment horizontal="center" vertical="center" shrinkToFit="1"/>
    </xf>
    <xf numFmtId="0" fontId="3" fillId="2" borderId="19" xfId="0" applyFont="1" applyFill="1" applyBorder="1" applyAlignment="1">
      <alignment horizontal="center" vertical="center" wrapText="1"/>
    </xf>
    <xf numFmtId="0" fontId="3" fillId="0" borderId="19" xfId="0" applyFont="1" applyBorder="1" applyAlignment="1">
      <alignment horizontal="center" vertical="center" wrapText="1"/>
    </xf>
    <xf numFmtId="0" fontId="3" fillId="2" borderId="12"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0" borderId="2"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4" xfId="0" applyFont="1" applyBorder="1" applyAlignment="1">
      <alignment horizontal="center" vertical="center" wrapText="1"/>
    </xf>
    <xf numFmtId="0" fontId="3" fillId="0" borderId="17" xfId="0" applyFont="1" applyBorder="1" applyAlignment="1">
      <alignment horizontal="center" vertical="center" wrapText="1"/>
    </xf>
    <xf numFmtId="0" fontId="3" fillId="2" borderId="3"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2" borderId="11"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0" borderId="18" xfId="0" applyFont="1" applyBorder="1" applyAlignment="1">
      <alignment vertical="center" shrinkToFit="1"/>
    </xf>
    <xf numFmtId="0" fontId="33" fillId="2" borderId="19" xfId="0" applyFont="1" applyFill="1" applyBorder="1" applyAlignment="1">
      <alignment horizontal="center" vertical="center" shrinkToFit="1"/>
    </xf>
    <xf numFmtId="0" fontId="3" fillId="0" borderId="35" xfId="0" applyFont="1" applyBorder="1" applyAlignment="1">
      <alignment vertical="center" shrinkToFit="1"/>
    </xf>
    <xf numFmtId="178" fontId="3" fillId="0" borderId="39" xfId="0" applyNumberFormat="1" applyFont="1" applyBorder="1" applyAlignment="1">
      <alignment horizontal="center" vertical="center" shrinkToFit="1"/>
    </xf>
    <xf numFmtId="0" fontId="23" fillId="2" borderId="0" xfId="0" applyFont="1" applyFill="1" applyBorder="1" applyAlignment="1">
      <alignment horizontal="center" vertical="center"/>
    </xf>
    <xf numFmtId="0" fontId="41" fillId="0" borderId="0" xfId="0" applyFont="1" applyBorder="1" applyAlignment="1">
      <alignment horizontal="center" vertical="center"/>
    </xf>
    <xf numFmtId="0" fontId="3" fillId="0" borderId="13" xfId="0" applyFont="1" applyBorder="1" applyAlignment="1">
      <alignment vertical="center"/>
    </xf>
    <xf numFmtId="0" fontId="3" fillId="0" borderId="26" xfId="0" applyFont="1" applyBorder="1" applyAlignment="1">
      <alignment vertical="center"/>
    </xf>
    <xf numFmtId="0" fontId="3" fillId="0" borderId="14" xfId="0" applyFont="1" applyBorder="1" applyAlignment="1">
      <alignment horizontal="center" vertical="center" wrapText="1"/>
    </xf>
    <xf numFmtId="0" fontId="3" fillId="0" borderId="0" xfId="0" applyFont="1" applyBorder="1" applyAlignment="1">
      <alignment vertical="center"/>
    </xf>
    <xf numFmtId="0" fontId="3" fillId="0" borderId="25" xfId="0" applyFont="1" applyBorder="1" applyAlignment="1">
      <alignment vertical="center"/>
    </xf>
    <xf numFmtId="0" fontId="3" fillId="2" borderId="0" xfId="0" applyFont="1" applyFill="1" applyBorder="1" applyAlignment="1">
      <alignment vertical="center"/>
    </xf>
    <xf numFmtId="0" fontId="3" fillId="0" borderId="39" xfId="0" applyFont="1" applyBorder="1" applyAlignment="1">
      <alignment horizontal="center" vertical="center" shrinkToFit="1"/>
    </xf>
    <xf numFmtId="0" fontId="3" fillId="0" borderId="30" xfId="0" applyFont="1" applyFill="1" applyBorder="1" applyAlignment="1">
      <alignment horizontal="center" vertical="center"/>
    </xf>
    <xf numFmtId="0" fontId="3" fillId="0" borderId="10" xfId="0" applyFont="1" applyBorder="1" applyAlignment="1">
      <alignment horizontal="center" vertical="center"/>
    </xf>
    <xf numFmtId="0" fontId="3" fillId="2" borderId="0" xfId="0" applyFont="1" applyFill="1" applyAlignment="1">
      <alignment vertical="center"/>
    </xf>
  </cellXfs>
  <cellStyles count="2">
    <cellStyle name="Normal_CPT_based method - LomaPrieta1989cpt" xfId="1" xr:uid="{00000000-0005-0000-0000-000000000000}"/>
    <cellStyle name="一般" xfId="0" builtinId="0"/>
  </cellStyles>
  <dxfs count="13">
    <dxf>
      <font>
        <u/>
      </font>
      <border>
        <bottom/>
        <vertical/>
        <horizontal/>
      </border>
    </dxf>
    <dxf>
      <fill>
        <patternFill>
          <bgColor theme="1"/>
        </patternFill>
      </fill>
    </dxf>
    <dxf>
      <font>
        <color auto="1"/>
      </font>
      <fill>
        <patternFill>
          <bgColor theme="1"/>
        </patternFill>
      </fill>
    </dxf>
    <dxf>
      <font>
        <color auto="1"/>
      </font>
      <fill>
        <patternFill>
          <bgColor theme="1"/>
        </patternFill>
      </fill>
    </dxf>
    <dxf>
      <font>
        <color theme="1"/>
        <name val="新細明體"/>
        <scheme val="none"/>
      </font>
      <fill>
        <patternFill>
          <bgColor theme="1"/>
        </patternFill>
      </fill>
    </dxf>
    <dxf>
      <font>
        <color theme="9" tint="-0.24994659260841701"/>
      </font>
      <fill>
        <patternFill>
          <bgColor theme="9" tint="-0.24994659260841701"/>
        </patternFill>
      </fill>
    </dxf>
    <dxf>
      <font>
        <color theme="9" tint="-0.24994659260841701"/>
      </font>
      <fill>
        <patternFill>
          <bgColor theme="9" tint="-0.24994659260841701"/>
        </patternFill>
      </fill>
    </dxf>
    <dxf>
      <font>
        <color theme="9" tint="-0.24994659260841701"/>
        <name val="新細明體"/>
        <scheme val="none"/>
      </font>
      <fill>
        <patternFill patternType="solid">
          <fgColor auto="1"/>
          <bgColor theme="9" tint="-0.24994659260841701"/>
        </patternFill>
      </fill>
    </dxf>
    <dxf>
      <font>
        <color rgb="FF003399"/>
      </font>
      <fill>
        <patternFill patternType="darkGrid">
          <fgColor rgb="FF003399"/>
          <bgColor theme="0"/>
        </patternFill>
      </fill>
    </dxf>
    <dxf>
      <font>
        <color rgb="FF003399"/>
      </font>
      <fill>
        <patternFill patternType="darkGrid">
          <fgColor rgb="FF003399"/>
        </patternFill>
      </fill>
    </dxf>
    <dxf>
      <font>
        <color rgb="FF003399"/>
      </font>
      <fill>
        <patternFill patternType="darkGrid">
          <fgColor rgb="FF003399"/>
          <bgColor theme="0"/>
        </patternFill>
      </fill>
    </dxf>
    <dxf>
      <font>
        <color theme="0" tint="-0.499984740745262"/>
      </font>
      <fill>
        <patternFill>
          <fgColor auto="1"/>
          <bgColor theme="0" tint="-0.499984740745262"/>
        </patternFill>
      </fill>
    </dxf>
    <dxf>
      <font>
        <color theme="0" tint="-0.499984740745262"/>
      </font>
      <fill>
        <patternFill>
          <fgColor auto="1"/>
          <bgColor theme="0" tint="-0.499984740745262"/>
        </patternFill>
      </fill>
    </dxf>
  </dxfs>
  <tableStyles count="0" defaultTableStyle="TableStyleMedium9" defaultPivotStyle="PivotStyleLight16"/>
  <colors>
    <mruColors>
      <color rgb="FF003399"/>
      <color rgb="FFFFFFCC"/>
      <color rgb="FF0000FF"/>
      <color rgb="FF008000"/>
      <color rgb="FF99FF99"/>
      <color rgb="FFFFFF99"/>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708747507120187E-3"/>
          <c:y val="4.4786777115582536E-3"/>
          <c:w val="0.9549157737058056"/>
          <c:h val="0.98304700343423734"/>
        </c:manualLayout>
      </c:layout>
      <c:scatterChart>
        <c:scatterStyle val="lineMarker"/>
        <c:varyColors val="0"/>
        <c:ser>
          <c:idx val="1"/>
          <c:order val="0"/>
          <c:tx>
            <c:v>中小地震</c:v>
          </c:tx>
          <c:spPr>
            <a:ln w="15875">
              <a:solidFill>
                <a:srgbClr val="008000"/>
              </a:solidFill>
            </a:ln>
          </c:spPr>
          <c:marker>
            <c:symbol val="triangle"/>
            <c:size val="7"/>
            <c:spPr>
              <a:solidFill>
                <a:srgbClr val="008000"/>
              </a:solidFill>
              <a:ln w="15875">
                <a:solidFill>
                  <a:srgbClr val="008000"/>
                </a:solidFill>
              </a:ln>
            </c:spPr>
          </c:marker>
          <c:xVal>
            <c:numRef>
              <c:f>HBF!$O$3:$O$22</c:f>
              <c:numCache>
                <c:formatCode>0.00_);[Red]\(0.00\)</c:formatCode>
                <c:ptCount val="13"/>
                <c:pt idx="0">
                  <c:v>3</c:v>
                </c:pt>
                <c:pt idx="1">
                  <c:v>3</c:v>
                </c:pt>
                <c:pt idx="2">
                  <c:v>3</c:v>
                </c:pt>
                <c:pt idx="3">
                  <c:v>3</c:v>
                </c:pt>
                <c:pt idx="4">
                  <c:v>3</c:v>
                </c:pt>
                <c:pt idx="5">
                  <c:v>2.8111876252828671</c:v>
                </c:pt>
                <c:pt idx="6">
                  <c:v>1.5567019904005268</c:v>
                </c:pt>
                <c:pt idx="7">
                  <c:v>1.7248730112357407</c:v>
                </c:pt>
                <c:pt idx="8">
                  <c:v>1.9195093419507792</c:v>
                </c:pt>
                <c:pt idx="9">
                  <c:v>1.7446889638348198</c:v>
                </c:pt>
                <c:pt idx="10">
                  <c:v>3</c:v>
                </c:pt>
                <c:pt idx="11">
                  <c:v>3</c:v>
                </c:pt>
                <c:pt idx="12">
                  <c:v>3</c:v>
                </c:pt>
              </c:numCache>
            </c:numRef>
          </c:xVal>
          <c:yVal>
            <c:numRef>
              <c:f>Input!$O$17:$O$36</c:f>
              <c:numCache>
                <c:formatCode>0.00_);[Red]\(0.00\)</c:formatCode>
                <c:ptCount val="20"/>
                <c:pt idx="0">
                  <c:v>1.0125</c:v>
                </c:pt>
                <c:pt idx="1">
                  <c:v>2.7749999999999999</c:v>
                </c:pt>
                <c:pt idx="2">
                  <c:v>4.2750000000000004</c:v>
                </c:pt>
                <c:pt idx="3">
                  <c:v>5.7750000000000004</c:v>
                </c:pt>
                <c:pt idx="4">
                  <c:v>7.2750000000000004</c:v>
                </c:pt>
                <c:pt idx="5">
                  <c:v>8.7750000000000004</c:v>
                </c:pt>
                <c:pt idx="6">
                  <c:v>10.275</c:v>
                </c:pt>
                <c:pt idx="7">
                  <c:v>11.775</c:v>
                </c:pt>
                <c:pt idx="8">
                  <c:v>13.275</c:v>
                </c:pt>
                <c:pt idx="9">
                  <c:v>14.775</c:v>
                </c:pt>
                <c:pt idx="10">
                  <c:v>16.274999999999999</c:v>
                </c:pt>
                <c:pt idx="11">
                  <c:v>17.774999999999999</c:v>
                </c:pt>
                <c:pt idx="12">
                  <c:v>19.262499999999999</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8971-4903-A18D-0974A786C4DE}"/>
            </c:ext>
          </c:extLst>
        </c:ser>
        <c:ser>
          <c:idx val="0"/>
          <c:order val="1"/>
          <c:tx>
            <c:v>設計地震</c:v>
          </c:tx>
          <c:spPr>
            <a:ln w="15875">
              <a:solidFill>
                <a:schemeClr val="tx1"/>
              </a:solidFill>
              <a:prstDash val="solid"/>
            </a:ln>
          </c:spPr>
          <c:marker>
            <c:symbol val="circle"/>
            <c:size val="7"/>
            <c:spPr>
              <a:solidFill>
                <a:schemeClr val="tx1"/>
              </a:solidFill>
              <a:ln w="15875">
                <a:solidFill>
                  <a:schemeClr val="tx1"/>
                </a:solidFill>
                <a:prstDash val="solid"/>
              </a:ln>
            </c:spPr>
          </c:marker>
          <c:xVal>
            <c:numRef>
              <c:f>HBF!$I$3:$I$22</c:f>
              <c:numCache>
                <c:formatCode>0.00_);[Red]\(0.00\)</c:formatCode>
                <c:ptCount val="13"/>
                <c:pt idx="0">
                  <c:v>1.202465936199639</c:v>
                </c:pt>
                <c:pt idx="1">
                  <c:v>3</c:v>
                </c:pt>
                <c:pt idx="2">
                  <c:v>3</c:v>
                </c:pt>
                <c:pt idx="3">
                  <c:v>3</c:v>
                </c:pt>
                <c:pt idx="4">
                  <c:v>1.40385978225321</c:v>
                </c:pt>
                <c:pt idx="5">
                  <c:v>0.95821049096647826</c:v>
                </c:pt>
                <c:pt idx="6">
                  <c:v>0.53061139181704031</c:v>
                </c:pt>
                <c:pt idx="7">
                  <c:v>0.58793351254337556</c:v>
                </c:pt>
                <c:pt idx="8">
                  <c:v>0.65427649596327608</c:v>
                </c:pt>
                <c:pt idx="9">
                  <c:v>0.59468790115058245</c:v>
                </c:pt>
                <c:pt idx="10">
                  <c:v>3</c:v>
                </c:pt>
                <c:pt idx="11">
                  <c:v>3</c:v>
                </c:pt>
                <c:pt idx="12">
                  <c:v>3</c:v>
                </c:pt>
              </c:numCache>
            </c:numRef>
          </c:xVal>
          <c:yVal>
            <c:numRef>
              <c:f>Input!$O$17:$O$36</c:f>
              <c:numCache>
                <c:formatCode>0.00_);[Red]\(0.00\)</c:formatCode>
                <c:ptCount val="20"/>
                <c:pt idx="0">
                  <c:v>1.0125</c:v>
                </c:pt>
                <c:pt idx="1">
                  <c:v>2.7749999999999999</c:v>
                </c:pt>
                <c:pt idx="2">
                  <c:v>4.2750000000000004</c:v>
                </c:pt>
                <c:pt idx="3">
                  <c:v>5.7750000000000004</c:v>
                </c:pt>
                <c:pt idx="4">
                  <c:v>7.2750000000000004</c:v>
                </c:pt>
                <c:pt idx="5">
                  <c:v>8.7750000000000004</c:v>
                </c:pt>
                <c:pt idx="6">
                  <c:v>10.275</c:v>
                </c:pt>
                <c:pt idx="7">
                  <c:v>11.775</c:v>
                </c:pt>
                <c:pt idx="8">
                  <c:v>13.275</c:v>
                </c:pt>
                <c:pt idx="9">
                  <c:v>14.775</c:v>
                </c:pt>
                <c:pt idx="10">
                  <c:v>16.274999999999999</c:v>
                </c:pt>
                <c:pt idx="11">
                  <c:v>17.774999999999999</c:v>
                </c:pt>
                <c:pt idx="12">
                  <c:v>19.262499999999999</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1-8971-4903-A18D-0974A786C4DE}"/>
            </c:ext>
          </c:extLst>
        </c:ser>
        <c:ser>
          <c:idx val="2"/>
          <c:order val="2"/>
          <c:tx>
            <c:v>最大地震</c:v>
          </c:tx>
          <c:spPr>
            <a:ln w="15875">
              <a:solidFill>
                <a:srgbClr val="FF0000"/>
              </a:solidFill>
            </a:ln>
          </c:spPr>
          <c:marker>
            <c:symbol val="circle"/>
            <c:size val="7"/>
            <c:spPr>
              <a:solidFill>
                <a:srgbClr val="FFFFFF"/>
              </a:solidFill>
              <a:ln w="15875">
                <a:solidFill>
                  <a:srgbClr val="FF0000"/>
                </a:solidFill>
              </a:ln>
            </c:spPr>
          </c:marker>
          <c:xVal>
            <c:numRef>
              <c:f>HBF!$T$3:$T$22</c:f>
              <c:numCache>
                <c:formatCode>0.00_);[Red]\(0.00\)</c:formatCode>
                <c:ptCount val="13"/>
                <c:pt idx="0">
                  <c:v>0.85902325289468984</c:v>
                </c:pt>
                <c:pt idx="1">
                  <c:v>3</c:v>
                </c:pt>
                <c:pt idx="2">
                  <c:v>3</c:v>
                </c:pt>
                <c:pt idx="3">
                  <c:v>3</c:v>
                </c:pt>
                <c:pt idx="4">
                  <c:v>1.0028959328116602</c:v>
                </c:pt>
                <c:pt idx="5">
                  <c:v>0.68453090281235451</c:v>
                </c:pt>
                <c:pt idx="6">
                  <c:v>0.37906065369487302</c:v>
                </c:pt>
                <c:pt idx="7">
                  <c:v>0.420010699036518</c:v>
                </c:pt>
                <c:pt idx="8">
                  <c:v>0.46740511056073736</c:v>
                </c:pt>
                <c:pt idx="9">
                  <c:v>0.42483593083561183</c:v>
                </c:pt>
                <c:pt idx="10">
                  <c:v>3</c:v>
                </c:pt>
                <c:pt idx="11">
                  <c:v>3</c:v>
                </c:pt>
                <c:pt idx="12">
                  <c:v>3</c:v>
                </c:pt>
              </c:numCache>
            </c:numRef>
          </c:xVal>
          <c:yVal>
            <c:numRef>
              <c:f>Input!$O$17:$O$36</c:f>
              <c:numCache>
                <c:formatCode>0.00_);[Red]\(0.00\)</c:formatCode>
                <c:ptCount val="20"/>
                <c:pt idx="0">
                  <c:v>1.0125</c:v>
                </c:pt>
                <c:pt idx="1">
                  <c:v>2.7749999999999999</c:v>
                </c:pt>
                <c:pt idx="2">
                  <c:v>4.2750000000000004</c:v>
                </c:pt>
                <c:pt idx="3">
                  <c:v>5.7750000000000004</c:v>
                </c:pt>
                <c:pt idx="4">
                  <c:v>7.2750000000000004</c:v>
                </c:pt>
                <c:pt idx="5">
                  <c:v>8.7750000000000004</c:v>
                </c:pt>
                <c:pt idx="6">
                  <c:v>10.275</c:v>
                </c:pt>
                <c:pt idx="7">
                  <c:v>11.775</c:v>
                </c:pt>
                <c:pt idx="8">
                  <c:v>13.275</c:v>
                </c:pt>
                <c:pt idx="9">
                  <c:v>14.775</c:v>
                </c:pt>
                <c:pt idx="10">
                  <c:v>16.274999999999999</c:v>
                </c:pt>
                <c:pt idx="11">
                  <c:v>17.774999999999999</c:v>
                </c:pt>
                <c:pt idx="12">
                  <c:v>19.262499999999999</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2-8971-4903-A18D-0974A786C4DE}"/>
            </c:ext>
          </c:extLst>
        </c:ser>
        <c:dLbls>
          <c:showLegendKey val="0"/>
          <c:showVal val="0"/>
          <c:showCatName val="0"/>
          <c:showSerName val="0"/>
          <c:showPercent val="0"/>
          <c:showBubbleSize val="0"/>
        </c:dLbls>
        <c:axId val="301131280"/>
        <c:axId val="301131840"/>
        <c:extLst/>
      </c:scatterChart>
      <c:valAx>
        <c:axId val="301131280"/>
        <c:scaling>
          <c:orientation val="minMax"/>
          <c:max val="3"/>
          <c:min val="0"/>
        </c:scaling>
        <c:delete val="1"/>
        <c:axPos val="t"/>
        <c:majorGridlines>
          <c:spPr>
            <a:ln w="6350">
              <a:solidFill>
                <a:srgbClr val="000000"/>
              </a:solidFill>
              <a:prstDash val="sysDash"/>
            </a:ln>
          </c:spPr>
        </c:majorGridlines>
        <c:numFmt formatCode="#,##0.0_);[Red]\(#,##0.0\)" sourceLinked="0"/>
        <c:majorTickMark val="in"/>
        <c:minorTickMark val="none"/>
        <c:tickLblPos val="none"/>
        <c:crossAx val="301131840"/>
        <c:crosses val="autoZero"/>
        <c:crossBetween val="midCat"/>
        <c:majorUnit val="1"/>
        <c:minorUnit val="2.0000000000000011E-2"/>
      </c:valAx>
      <c:valAx>
        <c:axId val="301131840"/>
        <c:scaling>
          <c:orientation val="maxMin"/>
          <c:max val="20"/>
          <c:min val="0"/>
        </c:scaling>
        <c:delete val="0"/>
        <c:axPos val="l"/>
        <c:majorGridlines>
          <c:spPr>
            <a:ln w="6350">
              <a:solidFill>
                <a:srgbClr val="000000"/>
              </a:solidFill>
              <a:prstDash val="sysDash"/>
            </a:ln>
          </c:spPr>
        </c:majorGridlines>
        <c:numFmt formatCode="0.00_);[Red]\(0.00\)" sourceLinked="1"/>
        <c:majorTickMark val="in"/>
        <c:minorTickMark val="none"/>
        <c:tickLblPos val="none"/>
        <c:spPr>
          <a:ln w="15875">
            <a:solidFill>
              <a:srgbClr val="000000"/>
            </a:solidFill>
          </a:ln>
        </c:spPr>
        <c:crossAx val="301131280"/>
        <c:crosses val="autoZero"/>
        <c:crossBetween val="midCat"/>
        <c:majorUnit val="2"/>
      </c:valAx>
      <c:spPr>
        <a:noFill/>
        <a:ln w="158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panose="020B0604020202020204" pitchFamily="34" charset="0"/>
          <a:ea typeface="新細明體"/>
          <a:cs typeface="Arial" panose="020B0604020202020204" pitchFamily="34" charset="0"/>
        </a:defRPr>
      </a:pPr>
      <a:endParaRPr lang="zh-TW"/>
    </a:p>
  </c:txPr>
  <c:printSettings>
    <c:headerFooter alignWithMargins="0"/>
    <c:pageMargins b="1" l="0.75000000000000266" r="0.750000000000002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723631088888133E-2"/>
          <c:y val="5.5935055436229161E-3"/>
          <c:w val="0.8245764628305261"/>
          <c:h val="0.97458325120229228"/>
        </c:manualLayout>
      </c:layout>
      <c:scatterChart>
        <c:scatterStyle val="lineMarker"/>
        <c:varyColors val="0"/>
        <c:ser>
          <c:idx val="0"/>
          <c:order val="0"/>
          <c:spPr>
            <a:ln w="15875">
              <a:solidFill>
                <a:srgbClr val="008000"/>
              </a:solidFill>
              <a:prstDash val="solid"/>
            </a:ln>
          </c:spPr>
          <c:marker>
            <c:symbol val="circle"/>
            <c:size val="7"/>
            <c:spPr>
              <a:solidFill>
                <a:srgbClr val="008000"/>
              </a:solidFill>
              <a:ln w="15875">
                <a:solidFill>
                  <a:srgbClr val="008000"/>
                </a:solidFill>
                <a:prstDash val="solid"/>
              </a:ln>
            </c:spPr>
          </c:marker>
          <c:xVal>
            <c:numRef>
              <c:f>Input!$G$17:$G$36</c:f>
              <c:numCache>
                <c:formatCode>General</c:formatCode>
                <c:ptCount val="20"/>
                <c:pt idx="0">
                  <c:v>8</c:v>
                </c:pt>
                <c:pt idx="1">
                  <c:v>9</c:v>
                </c:pt>
                <c:pt idx="2">
                  <c:v>20</c:v>
                </c:pt>
                <c:pt idx="3">
                  <c:v>23</c:v>
                </c:pt>
                <c:pt idx="4">
                  <c:v>16</c:v>
                </c:pt>
                <c:pt idx="5">
                  <c:v>15</c:v>
                </c:pt>
                <c:pt idx="6">
                  <c:v>7</c:v>
                </c:pt>
                <c:pt idx="7">
                  <c:v>8</c:v>
                </c:pt>
                <c:pt idx="8">
                  <c:v>9</c:v>
                </c:pt>
                <c:pt idx="9">
                  <c:v>8</c:v>
                </c:pt>
                <c:pt idx="10">
                  <c:v>6</c:v>
                </c:pt>
                <c:pt idx="11">
                  <c:v>6</c:v>
                </c:pt>
                <c:pt idx="12">
                  <c:v>7</c:v>
                </c:pt>
              </c:numCache>
            </c:numRef>
          </c:xVal>
          <c:yVal>
            <c:numRef>
              <c:f>Input!$N$17:$N$36</c:f>
              <c:numCache>
                <c:formatCode>0.00_);[Red]\(0.00\)</c:formatCode>
                <c:ptCount val="20"/>
                <c:pt idx="0">
                  <c:v>1.0125</c:v>
                </c:pt>
                <c:pt idx="1">
                  <c:v>2.7749999999999999</c:v>
                </c:pt>
                <c:pt idx="2">
                  <c:v>4.2750000000000004</c:v>
                </c:pt>
                <c:pt idx="3">
                  <c:v>5.7750000000000004</c:v>
                </c:pt>
                <c:pt idx="4">
                  <c:v>7.2750000000000004</c:v>
                </c:pt>
                <c:pt idx="5">
                  <c:v>8.7750000000000004</c:v>
                </c:pt>
                <c:pt idx="6">
                  <c:v>10.275</c:v>
                </c:pt>
                <c:pt idx="7">
                  <c:v>11.775</c:v>
                </c:pt>
                <c:pt idx="8">
                  <c:v>13.275</c:v>
                </c:pt>
                <c:pt idx="9">
                  <c:v>14.775</c:v>
                </c:pt>
                <c:pt idx="10">
                  <c:v>16.274999999999999</c:v>
                </c:pt>
                <c:pt idx="11">
                  <c:v>17.774999999999999</c:v>
                </c:pt>
                <c:pt idx="12">
                  <c:v>19.262499999999999</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DA2F-4CBD-BC85-2637D460F961}"/>
            </c:ext>
          </c:extLst>
        </c:ser>
        <c:dLbls>
          <c:showLegendKey val="0"/>
          <c:showVal val="0"/>
          <c:showCatName val="0"/>
          <c:showSerName val="0"/>
          <c:showPercent val="0"/>
          <c:showBubbleSize val="0"/>
        </c:dLbls>
        <c:axId val="301134080"/>
        <c:axId val="301134640"/>
      </c:scatterChart>
      <c:valAx>
        <c:axId val="301134080"/>
        <c:scaling>
          <c:orientation val="minMax"/>
          <c:max val="30"/>
        </c:scaling>
        <c:delete val="1"/>
        <c:axPos val="t"/>
        <c:majorGridlines>
          <c:spPr>
            <a:ln w="12700">
              <a:solidFill>
                <a:srgbClr val="000000"/>
              </a:solidFill>
              <a:prstDash val="sysDash"/>
            </a:ln>
          </c:spPr>
        </c:majorGridlines>
        <c:numFmt formatCode="General" sourceLinked="1"/>
        <c:majorTickMark val="in"/>
        <c:minorTickMark val="none"/>
        <c:tickLblPos val="none"/>
        <c:crossAx val="301134640"/>
        <c:crosses val="autoZero"/>
        <c:crossBetween val="midCat"/>
        <c:majorUnit val="10"/>
      </c:valAx>
      <c:valAx>
        <c:axId val="301134640"/>
        <c:scaling>
          <c:orientation val="maxMin"/>
          <c:max val="20"/>
          <c:min val="0"/>
        </c:scaling>
        <c:delete val="0"/>
        <c:axPos val="l"/>
        <c:majorGridlines>
          <c:spPr>
            <a:ln w="12700">
              <a:solidFill>
                <a:srgbClr val="000000"/>
              </a:solidFill>
              <a:prstDash val="sysDash"/>
            </a:ln>
          </c:spPr>
        </c:majorGridlines>
        <c:numFmt formatCode="0.00_);[Red]\(0.00\)" sourceLinked="1"/>
        <c:majorTickMark val="in"/>
        <c:minorTickMark val="none"/>
        <c:tickLblPos val="none"/>
        <c:spPr>
          <a:ln w="15875">
            <a:solidFill>
              <a:sysClr val="windowText" lastClr="000000"/>
            </a:solidFill>
          </a:ln>
        </c:spPr>
        <c:crossAx val="301134080"/>
        <c:crosses val="autoZero"/>
        <c:crossBetween val="midCat"/>
      </c:valAx>
      <c:spPr>
        <a:solidFill>
          <a:srgbClr val="FFFFFF"/>
        </a:solidFill>
        <a:ln w="15875">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pitchFamily="34" charset="0"/>
          <a:ea typeface="新細明體"/>
          <a:cs typeface="Arial" pitchFamily="34" charset="0"/>
        </a:defRPr>
      </a:pPr>
      <a:endParaRPr lang="zh-TW"/>
    </a:p>
  </c:txPr>
  <c:printSettings>
    <c:headerFooter alignWithMargins="0"/>
    <c:pageMargins b="1" l="0.75000000000000266" r="0.75000000000000266" t="1" header="0.5" footer="0.5"/>
    <c:pageSetup paperSize="9" orientation="landscape"/>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10</xdr:col>
      <xdr:colOff>274863</xdr:colOff>
      <xdr:row>6</xdr:row>
      <xdr:rowOff>9524</xdr:rowOff>
    </xdr:from>
    <xdr:to>
      <xdr:col>12</xdr:col>
      <xdr:colOff>55788</xdr:colOff>
      <xdr:row>7</xdr:row>
      <xdr:rowOff>155120</xdr:rowOff>
    </xdr:to>
    <xdr:sp macro="[0]!RefreshOuput" textlink="">
      <xdr:nvSpPr>
        <xdr:cNvPr id="2" name="圓角矩形 1">
          <a:extLst>
            <a:ext uri="{FF2B5EF4-FFF2-40B4-BE49-F238E27FC236}">
              <a16:creationId xmlns:a16="http://schemas.microsoft.com/office/drawing/2014/main" id="{00000000-0008-0000-0000-000002000000}"/>
            </a:ext>
          </a:extLst>
        </xdr:cNvPr>
        <xdr:cNvSpPr/>
      </xdr:nvSpPr>
      <xdr:spPr>
        <a:xfrm>
          <a:off x="6131377" y="1272267"/>
          <a:ext cx="1266825" cy="341539"/>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zh-TW" altLang="en-US" sz="1100"/>
            <a:t>更新輸出資料</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25</xdr:col>
      <xdr:colOff>102853</xdr:colOff>
      <xdr:row>6</xdr:row>
      <xdr:rowOff>276274</xdr:rowOff>
    </xdr:from>
    <xdr:to>
      <xdr:col>30</xdr:col>
      <xdr:colOff>102854</xdr:colOff>
      <xdr:row>207</xdr:row>
      <xdr:rowOff>79941</xdr:rowOff>
    </xdr:to>
    <xdr:graphicFrame macro="">
      <xdr:nvGraphicFramePr>
        <xdr:cNvPr id="2" name="Chart 13">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126236</xdr:colOff>
      <xdr:row>6</xdr:row>
      <xdr:rowOff>262472</xdr:rowOff>
    </xdr:from>
    <xdr:to>
      <xdr:col>7</xdr:col>
      <xdr:colOff>126235</xdr:colOff>
      <xdr:row>207</xdr:row>
      <xdr:rowOff>103283</xdr:rowOff>
    </xdr:to>
    <xdr:graphicFrame macro="">
      <xdr:nvGraphicFramePr>
        <xdr:cNvPr id="4" name="Chart 14">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25</xdr:col>
      <xdr:colOff>34429</xdr:colOff>
      <xdr:row>207</xdr:row>
      <xdr:rowOff>57379</xdr:rowOff>
    </xdr:from>
    <xdr:to>
      <xdr:col>31</xdr:col>
      <xdr:colOff>1039</xdr:colOff>
      <xdr:row>207</xdr:row>
      <xdr:rowOff>473431</xdr:rowOff>
    </xdr:to>
    <xdr:pic>
      <xdr:nvPicPr>
        <xdr:cNvPr id="5" name="圖片 4">
          <a:extLst>
            <a:ext uri="{FF2B5EF4-FFF2-40B4-BE49-F238E27FC236}">
              <a16:creationId xmlns:a16="http://schemas.microsoft.com/office/drawing/2014/main" id="{00000000-0008-0000-0200-000005000000}"/>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280858" y="8031165"/>
          <a:ext cx="1746152" cy="4160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45903</xdr:colOff>
      <xdr:row>6</xdr:row>
      <xdr:rowOff>206567</xdr:rowOff>
    </xdr:from>
    <xdr:to>
      <xdr:col>2</xdr:col>
      <xdr:colOff>4625</xdr:colOff>
      <xdr:row>207</xdr:row>
      <xdr:rowOff>41708</xdr:rowOff>
    </xdr:to>
    <xdr:pic>
      <xdr:nvPicPr>
        <xdr:cNvPr id="6" name="圖片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6403" y="2451746"/>
          <a:ext cx="375917" cy="5563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23813</xdr:colOff>
      <xdr:row>207</xdr:row>
      <xdr:rowOff>11906</xdr:rowOff>
    </xdr:from>
    <xdr:to>
      <xdr:col>5</xdr:col>
      <xdr:colOff>6053</xdr:colOff>
      <xdr:row>208</xdr:row>
      <xdr:rowOff>27641</xdr:rowOff>
    </xdr:to>
    <xdr:pic>
      <xdr:nvPicPr>
        <xdr:cNvPr id="8" name="圖片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14313" y="7310437"/>
          <a:ext cx="875209" cy="7539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FFFF99"/>
  </sheetPr>
  <dimension ref="A1:AB50"/>
  <sheetViews>
    <sheetView tabSelected="1" view="pageBreakPreview" topLeftCell="A7" zoomScaleSheetLayoutView="100" workbookViewId="0">
      <selection activeCell="Q13" sqref="Q13"/>
    </sheetView>
  </sheetViews>
  <sheetFormatPr defaultColWidth="9" defaultRowHeight="15.6"/>
  <cols>
    <col min="1" max="1" width="4.21875" style="11" customWidth="1"/>
    <col min="2" max="2" width="12.88671875" style="11" customWidth="1"/>
    <col min="3" max="3" width="9.33203125" style="11" customWidth="1"/>
    <col min="4" max="4" width="8" style="11" customWidth="1"/>
    <col min="5" max="5" width="6.44140625" style="11" customWidth="1"/>
    <col min="6" max="6" width="7.88671875" style="11" customWidth="1"/>
    <col min="7" max="7" width="8" style="11" customWidth="1"/>
    <col min="8" max="8" width="7.6640625" style="11" customWidth="1"/>
    <col min="9" max="9" width="8.88671875" style="11" customWidth="1"/>
    <col min="10" max="10" width="7.44140625" style="11" customWidth="1"/>
    <col min="11" max="11" width="7.109375" style="11" customWidth="1"/>
    <col min="12" max="12" width="13.88671875" style="11" customWidth="1"/>
    <col min="13" max="13" width="10.77734375" style="11" customWidth="1"/>
    <col min="14" max="14" width="11.44140625" style="11" customWidth="1"/>
    <col min="15" max="15" width="10.44140625" style="11" customWidth="1"/>
    <col min="16" max="17" width="9.77734375" style="11" customWidth="1"/>
    <col min="18" max="18" width="9.21875" style="11" customWidth="1"/>
    <col min="19" max="19" width="4.21875" style="11" customWidth="1"/>
    <col min="20" max="20" width="8.77734375" style="11" hidden="1" customWidth="1"/>
    <col min="21" max="21" width="3.88671875" style="11" hidden="1" customWidth="1"/>
    <col min="22" max="22" width="6.109375" style="11" customWidth="1"/>
    <col min="23" max="23" width="38.77734375" style="11" customWidth="1"/>
    <col min="24" max="24" width="12.6640625" style="11" customWidth="1"/>
    <col min="25" max="25" width="13" style="11" customWidth="1"/>
    <col min="26" max="26" width="16.77734375" style="11" customWidth="1"/>
    <col min="27" max="27" width="9" style="11"/>
    <col min="28" max="28" width="1.109375" style="11" customWidth="1"/>
    <col min="29" max="16384" width="9" style="11"/>
  </cols>
  <sheetData>
    <row r="1" spans="1:26" ht="17.399999999999999">
      <c r="A1" s="6" t="s">
        <v>81</v>
      </c>
      <c r="B1" s="7"/>
      <c r="C1" s="7"/>
      <c r="D1" s="7"/>
      <c r="E1" s="8"/>
      <c r="F1" s="9"/>
      <c r="G1" s="10"/>
      <c r="H1" s="10"/>
    </row>
    <row r="2" spans="1:26" ht="16.2">
      <c r="A2" s="16" t="s">
        <v>96</v>
      </c>
      <c r="B2" s="16"/>
      <c r="C2" s="16"/>
      <c r="D2" s="16"/>
      <c r="E2" s="17"/>
      <c r="F2" s="18"/>
      <c r="G2" s="19"/>
      <c r="H2" s="19"/>
    </row>
    <row r="3" spans="1:26" ht="16.2">
      <c r="A3" s="16" t="s">
        <v>111</v>
      </c>
      <c r="B3" s="16"/>
      <c r="C3" s="16"/>
      <c r="D3" s="16"/>
      <c r="E3" s="17"/>
      <c r="F3" s="18"/>
      <c r="G3" s="19"/>
      <c r="H3" s="19"/>
    </row>
    <row r="4" spans="1:26">
      <c r="A4" s="31" t="s">
        <v>23</v>
      </c>
      <c r="B4" s="16"/>
      <c r="C4" s="16"/>
      <c r="D4" s="16"/>
      <c r="E4" s="17"/>
      <c r="F4" s="18"/>
      <c r="G4" s="19"/>
      <c r="H4" s="19"/>
    </row>
    <row r="5" spans="1:26" ht="16.5" customHeight="1">
      <c r="A5" s="33" t="s">
        <v>97</v>
      </c>
      <c r="B5" s="12"/>
      <c r="C5" s="12"/>
      <c r="D5" s="12"/>
      <c r="E5" s="13"/>
      <c r="F5" s="14"/>
      <c r="G5" s="15"/>
      <c r="H5" s="15"/>
    </row>
    <row r="6" spans="1:26">
      <c r="A6" s="33" t="s">
        <v>116</v>
      </c>
      <c r="B6" s="12"/>
      <c r="C6" s="12"/>
      <c r="D6" s="12"/>
      <c r="E6" s="13"/>
      <c r="F6" s="14"/>
      <c r="G6" s="15"/>
      <c r="H6" s="15"/>
    </row>
    <row r="7" spans="1:26">
      <c r="A7" s="33" t="s">
        <v>120</v>
      </c>
      <c r="B7" s="12"/>
      <c r="C7" s="12"/>
      <c r="D7" s="12"/>
      <c r="E7" s="13"/>
      <c r="F7" s="14"/>
      <c r="G7" s="15"/>
      <c r="H7" s="15"/>
    </row>
    <row r="8" spans="1:26" ht="16.5" customHeight="1">
      <c r="B8" s="114" t="s">
        <v>52</v>
      </c>
      <c r="C8" s="115"/>
      <c r="D8" s="115"/>
      <c r="E8" s="115"/>
      <c r="F8" s="115"/>
      <c r="G8" s="115"/>
      <c r="H8" s="115"/>
      <c r="I8" s="115"/>
    </row>
    <row r="9" spans="1:26" ht="16.2">
      <c r="A9" s="24"/>
      <c r="B9" s="24"/>
      <c r="C9" s="21"/>
      <c r="D9" s="21"/>
      <c r="E9" s="22"/>
      <c r="F9" s="22"/>
      <c r="G9" s="23"/>
      <c r="H9" s="23"/>
      <c r="M9" s="57" t="s">
        <v>54</v>
      </c>
      <c r="N9" s="57" t="s">
        <v>55</v>
      </c>
      <c r="O9" s="57" t="s">
        <v>56</v>
      </c>
      <c r="W9" s="35" t="s">
        <v>106</v>
      </c>
    </row>
    <row r="10" spans="1:26" ht="18">
      <c r="A10" s="20"/>
      <c r="B10" s="116" t="s">
        <v>24</v>
      </c>
      <c r="C10" s="118" t="s">
        <v>99</v>
      </c>
      <c r="D10" s="119"/>
      <c r="E10" s="119"/>
      <c r="F10" s="119"/>
      <c r="G10" s="119"/>
      <c r="H10" s="119"/>
      <c r="I10" s="71"/>
      <c r="J10" s="110" t="s">
        <v>8</v>
      </c>
      <c r="K10" s="111"/>
      <c r="L10" s="111"/>
      <c r="M10" s="87">
        <v>8.5999999999999993E-2</v>
      </c>
      <c r="N10" s="87">
        <v>0.24</v>
      </c>
      <c r="O10" s="87">
        <v>0.32</v>
      </c>
      <c r="P10" s="43"/>
      <c r="Q10" s="43"/>
      <c r="W10" s="105" t="s">
        <v>102</v>
      </c>
      <c r="X10" s="105" t="s">
        <v>107</v>
      </c>
      <c r="Y10" s="105" t="s">
        <v>108</v>
      </c>
      <c r="Z10" s="105" t="s">
        <v>109</v>
      </c>
    </row>
    <row r="11" spans="1:26" ht="18">
      <c r="A11" s="20"/>
      <c r="B11" s="117"/>
      <c r="C11" s="120"/>
      <c r="D11" s="120"/>
      <c r="E11" s="120"/>
      <c r="F11" s="120"/>
      <c r="G11" s="120"/>
      <c r="H11" s="120"/>
      <c r="I11" s="71"/>
      <c r="J11" s="110" t="s">
        <v>9</v>
      </c>
      <c r="K11" s="111"/>
      <c r="L11" s="111"/>
      <c r="M11" s="88">
        <f>N11-0.2</f>
        <v>7.1</v>
      </c>
      <c r="N11" s="88">
        <v>7.3</v>
      </c>
      <c r="O11" s="88">
        <f>N11+0.2</f>
        <v>7.5</v>
      </c>
      <c r="P11" s="43"/>
      <c r="Q11" s="43"/>
      <c r="W11" s="106"/>
      <c r="X11" s="106"/>
      <c r="Y11" s="106"/>
      <c r="Z11" s="106"/>
    </row>
    <row r="12" spans="1:26" ht="18">
      <c r="A12" s="25"/>
      <c r="B12" s="121" t="s">
        <v>63</v>
      </c>
      <c r="C12" s="122"/>
      <c r="D12" s="122"/>
      <c r="E12" s="122"/>
      <c r="F12" s="123"/>
      <c r="G12" s="126" t="s">
        <v>100</v>
      </c>
      <c r="H12" s="127"/>
      <c r="I12" s="71"/>
      <c r="J12" s="112" t="s">
        <v>112</v>
      </c>
      <c r="K12" s="113"/>
      <c r="L12" s="113"/>
      <c r="M12" s="113"/>
      <c r="N12" s="113"/>
      <c r="O12" s="89">
        <v>0</v>
      </c>
      <c r="P12" s="43"/>
      <c r="Q12" s="43"/>
      <c r="W12" s="107" t="s">
        <v>103</v>
      </c>
      <c r="X12" s="105">
        <v>7.1</v>
      </c>
      <c r="Y12" s="105">
        <v>7.3</v>
      </c>
      <c r="Z12" s="105">
        <v>7.5</v>
      </c>
    </row>
    <row r="13" spans="1:26" ht="18.75" customHeight="1">
      <c r="A13" s="25"/>
      <c r="B13" s="77" t="s">
        <v>64</v>
      </c>
      <c r="C13" s="78" t="s">
        <v>65</v>
      </c>
      <c r="D13" s="132">
        <v>305261.87300000002</v>
      </c>
      <c r="E13" s="133"/>
      <c r="F13" s="78" t="s">
        <v>66</v>
      </c>
      <c r="G13" s="132">
        <v>2767821.1060000001</v>
      </c>
      <c r="H13" s="133"/>
      <c r="I13" s="71"/>
      <c r="J13" s="112" t="s">
        <v>113</v>
      </c>
      <c r="K13" s="113"/>
      <c r="L13" s="113"/>
      <c r="M13" s="113"/>
      <c r="N13" s="113"/>
      <c r="O13" s="89">
        <v>0</v>
      </c>
      <c r="P13" s="43"/>
      <c r="Q13" s="43"/>
      <c r="W13" s="108"/>
      <c r="X13" s="108"/>
      <c r="Y13" s="108"/>
      <c r="Z13" s="108"/>
    </row>
    <row r="14" spans="1:26" ht="18">
      <c r="A14" s="25"/>
      <c r="B14" s="128" t="s">
        <v>67</v>
      </c>
      <c r="C14" s="129"/>
      <c r="D14" s="130" t="s">
        <v>101</v>
      </c>
      <c r="E14" s="131"/>
      <c r="F14" s="131"/>
      <c r="G14" s="131"/>
      <c r="H14" s="129"/>
      <c r="I14" s="71"/>
      <c r="J14" s="110" t="s">
        <v>20</v>
      </c>
      <c r="K14" s="111"/>
      <c r="L14" s="111"/>
      <c r="M14" s="111"/>
      <c r="N14" s="111"/>
      <c r="O14" s="90">
        <v>72</v>
      </c>
      <c r="P14" s="102"/>
      <c r="Q14" s="102"/>
      <c r="W14" s="107" t="s">
        <v>110</v>
      </c>
      <c r="X14" s="105">
        <v>6.9</v>
      </c>
      <c r="Y14" s="105">
        <v>7.1</v>
      </c>
      <c r="Z14" s="105">
        <v>7.3</v>
      </c>
    </row>
    <row r="15" spans="1:26" ht="20.25" customHeight="1">
      <c r="W15" s="109"/>
      <c r="X15" s="108"/>
      <c r="Y15" s="108"/>
      <c r="Z15" s="108"/>
    </row>
    <row r="16" spans="1:26" ht="34.799999999999997">
      <c r="B16" s="44" t="s">
        <v>49</v>
      </c>
      <c r="C16" s="26" t="s">
        <v>41</v>
      </c>
      <c r="D16" s="124" t="s">
        <v>10</v>
      </c>
      <c r="E16" s="125"/>
      <c r="F16" s="125"/>
      <c r="G16" s="36" t="s">
        <v>50</v>
      </c>
      <c r="H16" s="26" t="s">
        <v>7</v>
      </c>
      <c r="I16" s="34" t="s">
        <v>19</v>
      </c>
      <c r="J16" s="83" t="s">
        <v>72</v>
      </c>
      <c r="K16" s="84" t="s">
        <v>71</v>
      </c>
      <c r="L16" s="26" t="s">
        <v>12</v>
      </c>
      <c r="M16" s="26" t="s">
        <v>13</v>
      </c>
      <c r="N16" s="52" t="s">
        <v>46</v>
      </c>
      <c r="O16" s="100" t="s">
        <v>119</v>
      </c>
      <c r="P16" s="26" t="s">
        <v>14</v>
      </c>
      <c r="Q16" s="100" t="s">
        <v>114</v>
      </c>
      <c r="R16" s="100" t="s">
        <v>115</v>
      </c>
      <c r="W16" s="98" t="s">
        <v>104</v>
      </c>
      <c r="X16" s="99">
        <v>6.7</v>
      </c>
      <c r="Y16" s="99">
        <v>6.9</v>
      </c>
      <c r="Z16" s="99">
        <v>7.1</v>
      </c>
    </row>
    <row r="17" spans="2:26">
      <c r="B17" s="72" t="s">
        <v>80</v>
      </c>
      <c r="C17" s="73">
        <v>19.52</v>
      </c>
      <c r="D17" s="74">
        <v>1.05</v>
      </c>
      <c r="E17" s="75" t="str">
        <f>IF(D17=0,"","-")</f>
        <v>-</v>
      </c>
      <c r="F17" s="74">
        <v>1.5</v>
      </c>
      <c r="G17" s="72">
        <v>8</v>
      </c>
      <c r="H17" s="72">
        <v>83</v>
      </c>
      <c r="I17" s="28"/>
      <c r="J17" s="85"/>
      <c r="K17" s="85">
        <v>5</v>
      </c>
      <c r="L17" s="30">
        <f>IF(F17=0,"",IF(D18=0,IF(L16=20,"",MIN(20,F17)),MIN(20,(F17+D18)/2)))</f>
        <v>2.0249999999999999</v>
      </c>
      <c r="M17" s="27">
        <f>IF(L17="","",L17)</f>
        <v>2.0249999999999999</v>
      </c>
      <c r="N17" s="27">
        <f>IF(L17="","",L17-M17/2)</f>
        <v>1.0125</v>
      </c>
      <c r="O17" s="27">
        <f>IF(L17="","",IF(L17&gt;=$O$12,L17-MIN((L17-$O$12)/2,M17/2),N17))</f>
        <v>1.0125</v>
      </c>
      <c r="P17" s="27">
        <f>IF(L17="","",O17*C17)</f>
        <v>19.763999999999999</v>
      </c>
      <c r="Q17" s="101">
        <f t="shared" ref="Q17:Q36" si="0">IF(L17="","",P17-MAX(0,O17-$O$12)*9.81)</f>
        <v>9.8313749999999995</v>
      </c>
      <c r="R17" s="27">
        <f t="shared" ref="R17:R36" si="1">IF(L17="","",P17-MAX(0,O17-$O$13)*9.81)</f>
        <v>9.8313749999999995</v>
      </c>
      <c r="W17" s="107" t="s">
        <v>105</v>
      </c>
      <c r="X17" s="105">
        <v>6.5</v>
      </c>
      <c r="Y17" s="105">
        <v>6.7</v>
      </c>
      <c r="Z17" s="105">
        <v>6.9</v>
      </c>
    </row>
    <row r="18" spans="2:26">
      <c r="B18" s="72" t="s">
        <v>48</v>
      </c>
      <c r="C18" s="73">
        <v>18.64</v>
      </c>
      <c r="D18" s="74">
        <v>2.5499999999999998</v>
      </c>
      <c r="E18" s="75" t="str">
        <f t="shared" ref="E18:E30" si="2">IF(D18=0,"","-")</f>
        <v>-</v>
      </c>
      <c r="F18" s="74">
        <v>3</v>
      </c>
      <c r="G18" s="72">
        <v>9</v>
      </c>
      <c r="H18" s="72">
        <v>91</v>
      </c>
      <c r="I18" s="28"/>
      <c r="J18" s="85"/>
      <c r="K18" s="85">
        <v>20</v>
      </c>
      <c r="L18" s="104">
        <f t="shared" ref="L18:L36" si="3">IF(F18=0,"",IF(D19=0,IF(L17=20,"",MIN(20,F18)),MIN(20,(F18+D19)/2)))</f>
        <v>3.5249999999999999</v>
      </c>
      <c r="M18" s="27">
        <f>IF(L18="","",L18-L17)</f>
        <v>1.5</v>
      </c>
      <c r="N18" s="27">
        <f t="shared" ref="N18:N36" si="4">IF(L18="","",L18-M18/2)</f>
        <v>2.7749999999999999</v>
      </c>
      <c r="O18" s="27">
        <f t="shared" ref="O18:O36" si="5">IF(L18="","",IF(L18&gt;=$O$12,L18-MIN((L18-$O$12)/2,M18/2),N18))</f>
        <v>2.7749999999999999</v>
      </c>
      <c r="P18" s="27">
        <f t="shared" ref="P18:P36" si="6">IF(L18="","",(L17-O17)*C17+(O18-L17)*C18+P17)</f>
        <v>53.507999999999996</v>
      </c>
      <c r="Q18" s="101">
        <f t="shared" si="0"/>
        <v>26.285249999999994</v>
      </c>
      <c r="R18" s="27">
        <f t="shared" si="1"/>
        <v>26.285249999999994</v>
      </c>
      <c r="W18" s="108"/>
      <c r="X18" s="108"/>
      <c r="Y18" s="108"/>
      <c r="Z18" s="108"/>
    </row>
    <row r="19" spans="2:26">
      <c r="B19" s="72" t="s">
        <v>47</v>
      </c>
      <c r="C19" s="73">
        <v>19.03</v>
      </c>
      <c r="D19" s="74">
        <v>4.05</v>
      </c>
      <c r="E19" s="75" t="str">
        <f t="shared" si="2"/>
        <v>-</v>
      </c>
      <c r="F19" s="74">
        <v>4.5</v>
      </c>
      <c r="G19" s="72">
        <v>20</v>
      </c>
      <c r="H19" s="72">
        <v>14</v>
      </c>
      <c r="I19" s="28"/>
      <c r="J19" s="85"/>
      <c r="K19" s="85"/>
      <c r="L19" s="104">
        <f t="shared" si="3"/>
        <v>5.0250000000000004</v>
      </c>
      <c r="M19" s="27">
        <f t="shared" ref="M19:M36" si="7">IF(L19="","",L19-L18)</f>
        <v>1.5000000000000004</v>
      </c>
      <c r="N19" s="27">
        <f t="shared" si="4"/>
        <v>4.2750000000000004</v>
      </c>
      <c r="O19" s="27">
        <f t="shared" si="5"/>
        <v>4.2750000000000004</v>
      </c>
      <c r="P19" s="27">
        <f t="shared" si="6"/>
        <v>81.760500000000008</v>
      </c>
      <c r="Q19" s="101">
        <f t="shared" si="0"/>
        <v>39.822749999999999</v>
      </c>
      <c r="R19" s="27">
        <f t="shared" si="1"/>
        <v>39.822749999999999</v>
      </c>
    </row>
    <row r="20" spans="2:26">
      <c r="B20" s="72" t="s">
        <v>47</v>
      </c>
      <c r="C20" s="73">
        <v>18.54</v>
      </c>
      <c r="D20" s="74">
        <v>5.55</v>
      </c>
      <c r="E20" s="75" t="str">
        <f t="shared" si="2"/>
        <v>-</v>
      </c>
      <c r="F20" s="74">
        <v>6</v>
      </c>
      <c r="G20" s="72">
        <v>23</v>
      </c>
      <c r="H20" s="72">
        <v>12</v>
      </c>
      <c r="I20" s="28"/>
      <c r="J20" s="85"/>
      <c r="K20" s="85"/>
      <c r="L20" s="104">
        <f t="shared" si="3"/>
        <v>6.5250000000000004</v>
      </c>
      <c r="M20" s="27">
        <f t="shared" si="7"/>
        <v>1.5</v>
      </c>
      <c r="N20" s="27">
        <f t="shared" si="4"/>
        <v>5.7750000000000004</v>
      </c>
      <c r="O20" s="27">
        <f t="shared" si="5"/>
        <v>5.7750000000000004</v>
      </c>
      <c r="P20" s="27">
        <f t="shared" si="6"/>
        <v>109.93800000000002</v>
      </c>
      <c r="Q20" s="101">
        <f t="shared" si="0"/>
        <v>53.285250000000012</v>
      </c>
      <c r="R20" s="27">
        <f t="shared" si="1"/>
        <v>53.285250000000012</v>
      </c>
    </row>
    <row r="21" spans="2:26">
      <c r="B21" s="72" t="s">
        <v>47</v>
      </c>
      <c r="C21" s="73">
        <v>19.18</v>
      </c>
      <c r="D21" s="74">
        <v>7.05</v>
      </c>
      <c r="E21" s="75" t="str">
        <f t="shared" si="2"/>
        <v>-</v>
      </c>
      <c r="F21" s="74">
        <v>7.5</v>
      </c>
      <c r="G21" s="72">
        <v>16</v>
      </c>
      <c r="H21" s="72">
        <v>15</v>
      </c>
      <c r="I21" s="28"/>
      <c r="J21" s="85"/>
      <c r="K21" s="85"/>
      <c r="L21" s="104">
        <f t="shared" si="3"/>
        <v>8.0250000000000004</v>
      </c>
      <c r="M21" s="27">
        <f t="shared" si="7"/>
        <v>1.5</v>
      </c>
      <c r="N21" s="27">
        <f t="shared" si="4"/>
        <v>7.2750000000000004</v>
      </c>
      <c r="O21" s="27">
        <f t="shared" si="5"/>
        <v>7.2750000000000004</v>
      </c>
      <c r="P21" s="27">
        <f t="shared" si="6"/>
        <v>138.22800000000001</v>
      </c>
      <c r="Q21" s="101">
        <f t="shared" si="0"/>
        <v>66.860250000000008</v>
      </c>
      <c r="R21" s="27">
        <f t="shared" si="1"/>
        <v>66.860250000000008</v>
      </c>
    </row>
    <row r="22" spans="2:26">
      <c r="B22" s="72" t="s">
        <v>47</v>
      </c>
      <c r="C22" s="73">
        <v>18.84</v>
      </c>
      <c r="D22" s="74">
        <v>8.5500000000000007</v>
      </c>
      <c r="E22" s="75" t="str">
        <f t="shared" si="2"/>
        <v>-</v>
      </c>
      <c r="F22" s="74">
        <v>9</v>
      </c>
      <c r="G22" s="72">
        <v>15</v>
      </c>
      <c r="H22" s="72">
        <v>13</v>
      </c>
      <c r="I22" s="28"/>
      <c r="J22" s="85"/>
      <c r="K22" s="85"/>
      <c r="L22" s="104">
        <f t="shared" si="3"/>
        <v>9.5250000000000004</v>
      </c>
      <c r="M22" s="27">
        <f t="shared" si="7"/>
        <v>1.5</v>
      </c>
      <c r="N22" s="27">
        <f t="shared" si="4"/>
        <v>8.7750000000000004</v>
      </c>
      <c r="O22" s="27">
        <f t="shared" si="5"/>
        <v>8.7750000000000004</v>
      </c>
      <c r="P22" s="27">
        <f t="shared" si="6"/>
        <v>166.74299999999999</v>
      </c>
      <c r="Q22" s="101">
        <f t="shared" si="0"/>
        <v>80.660249999999991</v>
      </c>
      <c r="R22" s="27">
        <f t="shared" si="1"/>
        <v>80.660249999999991</v>
      </c>
    </row>
    <row r="23" spans="2:26">
      <c r="B23" s="72" t="s">
        <v>80</v>
      </c>
      <c r="C23" s="73">
        <v>18.39</v>
      </c>
      <c r="D23" s="74">
        <v>10.050000000000001</v>
      </c>
      <c r="E23" s="75" t="str">
        <f t="shared" si="2"/>
        <v>-</v>
      </c>
      <c r="F23" s="74">
        <v>10.5</v>
      </c>
      <c r="G23" s="72">
        <v>7</v>
      </c>
      <c r="H23" s="72">
        <v>52</v>
      </c>
      <c r="I23" s="28"/>
      <c r="J23" s="85"/>
      <c r="K23" s="85"/>
      <c r="L23" s="104">
        <f t="shared" si="3"/>
        <v>11.025</v>
      </c>
      <c r="M23" s="27">
        <f t="shared" si="7"/>
        <v>1.5</v>
      </c>
      <c r="N23" s="27">
        <f t="shared" si="4"/>
        <v>10.275</v>
      </c>
      <c r="O23" s="27">
        <f t="shared" si="5"/>
        <v>10.275</v>
      </c>
      <c r="P23" s="27">
        <f t="shared" si="6"/>
        <v>194.66550000000001</v>
      </c>
      <c r="Q23" s="101">
        <f t="shared" si="0"/>
        <v>93.867750000000001</v>
      </c>
      <c r="R23" s="27">
        <f t="shared" si="1"/>
        <v>93.867750000000001</v>
      </c>
    </row>
    <row r="24" spans="2:26">
      <c r="B24" s="72" t="s">
        <v>80</v>
      </c>
      <c r="C24" s="73">
        <v>19.28</v>
      </c>
      <c r="D24" s="74">
        <v>11.55</v>
      </c>
      <c r="E24" s="75" t="str">
        <f t="shared" si="2"/>
        <v>-</v>
      </c>
      <c r="F24" s="74">
        <v>12</v>
      </c>
      <c r="G24" s="72">
        <v>8</v>
      </c>
      <c r="H24" s="72">
        <v>54</v>
      </c>
      <c r="I24" s="28"/>
      <c r="J24" s="85"/>
      <c r="K24" s="85"/>
      <c r="L24" s="104">
        <f t="shared" si="3"/>
        <v>12.525</v>
      </c>
      <c r="M24" s="27">
        <f t="shared" si="7"/>
        <v>1.5</v>
      </c>
      <c r="N24" s="27">
        <f t="shared" si="4"/>
        <v>11.775</v>
      </c>
      <c r="O24" s="27">
        <f t="shared" si="5"/>
        <v>11.775</v>
      </c>
      <c r="P24" s="27">
        <f t="shared" si="6"/>
        <v>222.91800000000001</v>
      </c>
      <c r="Q24" s="101">
        <f t="shared" si="0"/>
        <v>107.40525</v>
      </c>
      <c r="R24" s="27">
        <f t="shared" si="1"/>
        <v>107.40525</v>
      </c>
    </row>
    <row r="25" spans="2:26">
      <c r="B25" s="72" t="s">
        <v>80</v>
      </c>
      <c r="C25" s="73">
        <v>17.850000000000001</v>
      </c>
      <c r="D25" s="74">
        <v>13.05</v>
      </c>
      <c r="E25" s="75" t="str">
        <f t="shared" si="2"/>
        <v>-</v>
      </c>
      <c r="F25" s="74">
        <v>13.5</v>
      </c>
      <c r="G25" s="72">
        <v>9</v>
      </c>
      <c r="H25" s="72">
        <v>57</v>
      </c>
      <c r="I25" s="28"/>
      <c r="J25" s="85"/>
      <c r="K25" s="85"/>
      <c r="L25" s="104">
        <f t="shared" si="3"/>
        <v>14.025</v>
      </c>
      <c r="M25" s="27">
        <f t="shared" si="7"/>
        <v>1.5</v>
      </c>
      <c r="N25" s="27">
        <f t="shared" si="4"/>
        <v>13.275</v>
      </c>
      <c r="O25" s="27">
        <f t="shared" si="5"/>
        <v>13.275</v>
      </c>
      <c r="P25" s="27">
        <f t="shared" si="6"/>
        <v>250.7655</v>
      </c>
      <c r="Q25" s="101">
        <f t="shared" si="0"/>
        <v>120.53774999999999</v>
      </c>
      <c r="R25" s="27">
        <f t="shared" si="1"/>
        <v>120.53774999999999</v>
      </c>
    </row>
    <row r="26" spans="2:26">
      <c r="B26" s="72" t="s">
        <v>47</v>
      </c>
      <c r="C26" s="73">
        <v>19.420000000000002</v>
      </c>
      <c r="D26" s="74">
        <v>14.55</v>
      </c>
      <c r="E26" s="75" t="str">
        <f t="shared" si="2"/>
        <v>-</v>
      </c>
      <c r="F26" s="74">
        <v>15</v>
      </c>
      <c r="G26" s="72">
        <v>8</v>
      </c>
      <c r="H26" s="72">
        <v>45</v>
      </c>
      <c r="I26" s="28"/>
      <c r="J26" s="85"/>
      <c r="K26" s="85"/>
      <c r="L26" s="104">
        <f t="shared" si="3"/>
        <v>15.525</v>
      </c>
      <c r="M26" s="27">
        <f t="shared" si="7"/>
        <v>1.5</v>
      </c>
      <c r="N26" s="27">
        <f t="shared" si="4"/>
        <v>14.775</v>
      </c>
      <c r="O26" s="27">
        <f t="shared" si="5"/>
        <v>14.775</v>
      </c>
      <c r="P26" s="27">
        <f t="shared" si="6"/>
        <v>278.71800000000002</v>
      </c>
      <c r="Q26" s="101">
        <f t="shared" si="0"/>
        <v>133.77525</v>
      </c>
      <c r="R26" s="27">
        <f t="shared" si="1"/>
        <v>133.77525</v>
      </c>
    </row>
    <row r="27" spans="2:26">
      <c r="B27" s="72" t="s">
        <v>48</v>
      </c>
      <c r="C27" s="73">
        <v>18.64</v>
      </c>
      <c r="D27" s="74">
        <v>16.05</v>
      </c>
      <c r="E27" s="75" t="str">
        <f t="shared" si="2"/>
        <v>-</v>
      </c>
      <c r="F27" s="74">
        <v>16.5</v>
      </c>
      <c r="G27" s="72">
        <v>6</v>
      </c>
      <c r="H27" s="72">
        <v>97</v>
      </c>
      <c r="I27" s="28"/>
      <c r="J27" s="85"/>
      <c r="K27" s="85">
        <v>11</v>
      </c>
      <c r="L27" s="104">
        <f t="shared" si="3"/>
        <v>17.024999999999999</v>
      </c>
      <c r="M27" s="27">
        <f t="shared" si="7"/>
        <v>1.4999999999999982</v>
      </c>
      <c r="N27" s="27">
        <f t="shared" si="4"/>
        <v>16.274999999999999</v>
      </c>
      <c r="O27" s="27">
        <f t="shared" si="5"/>
        <v>16.274999999999999</v>
      </c>
      <c r="P27" s="27">
        <f t="shared" si="6"/>
        <v>307.26299999999998</v>
      </c>
      <c r="Q27" s="101">
        <f t="shared" si="0"/>
        <v>147.60524999999998</v>
      </c>
      <c r="R27" s="27">
        <f t="shared" si="1"/>
        <v>147.60524999999998</v>
      </c>
    </row>
    <row r="28" spans="2:26">
      <c r="B28" s="72" t="s">
        <v>48</v>
      </c>
      <c r="C28" s="73">
        <v>19.03</v>
      </c>
      <c r="D28" s="74">
        <v>17.55</v>
      </c>
      <c r="E28" s="75" t="str">
        <f t="shared" si="2"/>
        <v>-</v>
      </c>
      <c r="F28" s="74">
        <v>18</v>
      </c>
      <c r="G28" s="72">
        <v>6</v>
      </c>
      <c r="H28" s="72">
        <v>95</v>
      </c>
      <c r="I28" s="28"/>
      <c r="J28" s="85"/>
      <c r="K28" s="85">
        <v>15</v>
      </c>
      <c r="L28" s="104">
        <f t="shared" si="3"/>
        <v>18.524999999999999</v>
      </c>
      <c r="M28" s="27">
        <f t="shared" si="7"/>
        <v>1.5</v>
      </c>
      <c r="N28" s="27">
        <f t="shared" si="4"/>
        <v>17.774999999999999</v>
      </c>
      <c r="O28" s="27">
        <f t="shared" si="5"/>
        <v>17.774999999999999</v>
      </c>
      <c r="P28" s="27">
        <f t="shared" si="6"/>
        <v>335.51549999999997</v>
      </c>
      <c r="Q28" s="101">
        <f t="shared" si="0"/>
        <v>161.14274999999998</v>
      </c>
      <c r="R28" s="27">
        <f t="shared" si="1"/>
        <v>161.14274999999998</v>
      </c>
    </row>
    <row r="29" spans="2:26">
      <c r="B29" s="72" t="s">
        <v>48</v>
      </c>
      <c r="C29" s="73">
        <v>18.34</v>
      </c>
      <c r="D29" s="74">
        <v>19.05</v>
      </c>
      <c r="E29" s="75" t="str">
        <f t="shared" si="2"/>
        <v>-</v>
      </c>
      <c r="F29" s="74">
        <v>19.5</v>
      </c>
      <c r="G29" s="72">
        <v>7</v>
      </c>
      <c r="H29" s="72">
        <v>94</v>
      </c>
      <c r="I29" s="28"/>
      <c r="J29" s="85"/>
      <c r="K29" s="85">
        <v>13</v>
      </c>
      <c r="L29" s="104">
        <f t="shared" si="3"/>
        <v>20</v>
      </c>
      <c r="M29" s="27">
        <f t="shared" si="7"/>
        <v>1.4750000000000014</v>
      </c>
      <c r="N29" s="27">
        <f t="shared" si="4"/>
        <v>19.262499999999999</v>
      </c>
      <c r="O29" s="27">
        <f t="shared" si="5"/>
        <v>19.262499999999999</v>
      </c>
      <c r="P29" s="27">
        <f t="shared" si="6"/>
        <v>363.31374999999997</v>
      </c>
      <c r="Q29" s="101">
        <f t="shared" si="0"/>
        <v>174.34862499999997</v>
      </c>
      <c r="R29" s="27">
        <f t="shared" si="1"/>
        <v>174.34862499999997</v>
      </c>
    </row>
    <row r="30" spans="2:26">
      <c r="B30" s="72"/>
      <c r="C30" s="73"/>
      <c r="D30" s="74">
        <v>20.5</v>
      </c>
      <c r="E30" s="75" t="str">
        <f t="shared" si="2"/>
        <v>-</v>
      </c>
      <c r="F30" s="74">
        <v>23</v>
      </c>
      <c r="G30" s="72"/>
      <c r="H30" s="72"/>
      <c r="I30" s="28"/>
      <c r="J30" s="85"/>
      <c r="K30" s="85"/>
      <c r="L30" s="104" t="str">
        <f t="shared" si="3"/>
        <v/>
      </c>
      <c r="M30" s="27" t="str">
        <f t="shared" si="7"/>
        <v/>
      </c>
      <c r="N30" s="27" t="str">
        <f t="shared" si="4"/>
        <v/>
      </c>
      <c r="O30" s="27" t="str">
        <f t="shared" si="5"/>
        <v/>
      </c>
      <c r="P30" s="27" t="str">
        <f t="shared" si="6"/>
        <v/>
      </c>
      <c r="Q30" s="101" t="str">
        <f t="shared" si="0"/>
        <v/>
      </c>
      <c r="R30" s="27" t="str">
        <f t="shared" si="1"/>
        <v/>
      </c>
    </row>
    <row r="31" spans="2:26">
      <c r="B31" s="28"/>
      <c r="C31" s="29"/>
      <c r="D31" s="30"/>
      <c r="E31" s="27" t="str">
        <f t="shared" ref="E31:E36" si="8">IF(D31=0,"","-")</f>
        <v/>
      </c>
      <c r="F31" s="30"/>
      <c r="G31" s="37"/>
      <c r="H31" s="28"/>
      <c r="I31" s="28"/>
      <c r="J31" s="85"/>
      <c r="K31" s="85"/>
      <c r="L31" s="104" t="str">
        <f t="shared" si="3"/>
        <v/>
      </c>
      <c r="M31" s="27" t="str">
        <f t="shared" si="7"/>
        <v/>
      </c>
      <c r="N31" s="27" t="str">
        <f t="shared" si="4"/>
        <v/>
      </c>
      <c r="O31" s="27" t="str">
        <f t="shared" si="5"/>
        <v/>
      </c>
      <c r="P31" s="27" t="str">
        <f t="shared" si="6"/>
        <v/>
      </c>
      <c r="Q31" s="101" t="str">
        <f t="shared" si="0"/>
        <v/>
      </c>
      <c r="R31" s="27" t="str">
        <f t="shared" si="1"/>
        <v/>
      </c>
    </row>
    <row r="32" spans="2:26">
      <c r="B32" s="28"/>
      <c r="C32" s="29"/>
      <c r="D32" s="30"/>
      <c r="E32" s="27" t="str">
        <f t="shared" si="8"/>
        <v/>
      </c>
      <c r="F32" s="30"/>
      <c r="G32" s="37"/>
      <c r="H32" s="28"/>
      <c r="I32" s="28"/>
      <c r="J32" s="85"/>
      <c r="K32" s="85"/>
      <c r="L32" s="104" t="str">
        <f t="shared" si="3"/>
        <v/>
      </c>
      <c r="M32" s="27" t="str">
        <f t="shared" si="7"/>
        <v/>
      </c>
      <c r="N32" s="27" t="str">
        <f t="shared" si="4"/>
        <v/>
      </c>
      <c r="O32" s="27" t="str">
        <f t="shared" si="5"/>
        <v/>
      </c>
      <c r="P32" s="27" t="str">
        <f t="shared" si="6"/>
        <v/>
      </c>
      <c r="Q32" s="101" t="str">
        <f t="shared" si="0"/>
        <v/>
      </c>
      <c r="R32" s="27" t="str">
        <f t="shared" si="1"/>
        <v/>
      </c>
    </row>
    <row r="33" spans="2:28">
      <c r="B33" s="28"/>
      <c r="C33" s="29"/>
      <c r="D33" s="30"/>
      <c r="E33" s="27" t="str">
        <f t="shared" si="8"/>
        <v/>
      </c>
      <c r="F33" s="30"/>
      <c r="G33" s="37"/>
      <c r="H33" s="28"/>
      <c r="I33" s="28"/>
      <c r="J33" s="85"/>
      <c r="K33" s="85"/>
      <c r="L33" s="104" t="str">
        <f t="shared" si="3"/>
        <v/>
      </c>
      <c r="M33" s="27" t="str">
        <f t="shared" si="7"/>
        <v/>
      </c>
      <c r="N33" s="27" t="str">
        <f t="shared" si="4"/>
        <v/>
      </c>
      <c r="O33" s="27" t="str">
        <f t="shared" si="5"/>
        <v/>
      </c>
      <c r="P33" s="27" t="str">
        <f t="shared" si="6"/>
        <v/>
      </c>
      <c r="Q33" s="101" t="str">
        <f t="shared" si="0"/>
        <v/>
      </c>
      <c r="R33" s="27" t="str">
        <f t="shared" si="1"/>
        <v/>
      </c>
    </row>
    <row r="34" spans="2:28">
      <c r="B34" s="28"/>
      <c r="C34" s="29"/>
      <c r="D34" s="30"/>
      <c r="E34" s="27" t="str">
        <f t="shared" si="8"/>
        <v/>
      </c>
      <c r="F34" s="30"/>
      <c r="G34" s="37"/>
      <c r="H34" s="28"/>
      <c r="I34" s="28"/>
      <c r="J34" s="85"/>
      <c r="K34" s="85"/>
      <c r="L34" s="104" t="str">
        <f t="shared" si="3"/>
        <v/>
      </c>
      <c r="M34" s="27" t="str">
        <f t="shared" si="7"/>
        <v/>
      </c>
      <c r="N34" s="27" t="str">
        <f t="shared" si="4"/>
        <v/>
      </c>
      <c r="O34" s="27" t="str">
        <f t="shared" si="5"/>
        <v/>
      </c>
      <c r="P34" s="27" t="str">
        <f t="shared" si="6"/>
        <v/>
      </c>
      <c r="Q34" s="101" t="str">
        <f t="shared" si="0"/>
        <v/>
      </c>
      <c r="R34" s="27" t="str">
        <f t="shared" si="1"/>
        <v/>
      </c>
    </row>
    <row r="35" spans="2:28">
      <c r="B35" s="28"/>
      <c r="C35" s="29"/>
      <c r="D35" s="30"/>
      <c r="E35" s="27" t="str">
        <f t="shared" si="8"/>
        <v/>
      </c>
      <c r="F35" s="30"/>
      <c r="G35" s="37"/>
      <c r="H35" s="28"/>
      <c r="I35" s="28"/>
      <c r="J35" s="85"/>
      <c r="K35" s="85"/>
      <c r="L35" s="104" t="str">
        <f t="shared" si="3"/>
        <v/>
      </c>
      <c r="M35" s="27" t="str">
        <f t="shared" si="7"/>
        <v/>
      </c>
      <c r="N35" s="27" t="str">
        <f t="shared" si="4"/>
        <v/>
      </c>
      <c r="O35" s="27" t="str">
        <f t="shared" si="5"/>
        <v/>
      </c>
      <c r="P35" s="27" t="str">
        <f t="shared" si="6"/>
        <v/>
      </c>
      <c r="Q35" s="101" t="str">
        <f t="shared" si="0"/>
        <v/>
      </c>
      <c r="R35" s="27" t="str">
        <f t="shared" si="1"/>
        <v/>
      </c>
    </row>
    <row r="36" spans="2:28">
      <c r="B36" s="28"/>
      <c r="C36" s="29"/>
      <c r="D36" s="30"/>
      <c r="E36" s="27" t="str">
        <f t="shared" si="8"/>
        <v/>
      </c>
      <c r="F36" s="30"/>
      <c r="G36" s="37"/>
      <c r="H36" s="28"/>
      <c r="I36" s="28"/>
      <c r="J36" s="85"/>
      <c r="K36" s="85"/>
      <c r="L36" s="104" t="str">
        <f t="shared" si="3"/>
        <v/>
      </c>
      <c r="M36" s="27" t="str">
        <f t="shared" si="7"/>
        <v/>
      </c>
      <c r="N36" s="27" t="str">
        <f t="shared" si="4"/>
        <v/>
      </c>
      <c r="O36" s="27" t="str">
        <f t="shared" si="5"/>
        <v/>
      </c>
      <c r="P36" s="27" t="str">
        <f t="shared" si="6"/>
        <v/>
      </c>
      <c r="Q36" s="101" t="str">
        <f t="shared" si="0"/>
        <v/>
      </c>
      <c r="R36" s="27" t="str">
        <f t="shared" si="1"/>
        <v/>
      </c>
    </row>
    <row r="37" spans="2:28">
      <c r="X37" s="91"/>
      <c r="AB37" s="96"/>
    </row>
    <row r="38" spans="2:28">
      <c r="X38" s="91"/>
      <c r="AB38" s="96"/>
    </row>
    <row r="39" spans="2:28">
      <c r="X39" s="91"/>
      <c r="AB39" s="96"/>
    </row>
    <row r="40" spans="2:28">
      <c r="X40" s="91"/>
      <c r="AB40" s="96"/>
    </row>
    <row r="41" spans="2:28">
      <c r="X41" s="91"/>
      <c r="AB41" s="96"/>
    </row>
    <row r="42" spans="2:28">
      <c r="X42" s="91"/>
      <c r="AB42" s="96"/>
    </row>
    <row r="43" spans="2:28">
      <c r="X43" s="91"/>
      <c r="AB43" s="96"/>
    </row>
    <row r="44" spans="2:28">
      <c r="X44" s="91"/>
      <c r="AB44" s="96"/>
    </row>
    <row r="45" spans="2:28">
      <c r="X45" s="91"/>
      <c r="AB45" s="96"/>
    </row>
    <row r="46" spans="2:28">
      <c r="X46" s="91"/>
      <c r="AB46" s="96"/>
    </row>
    <row r="47" spans="2:28">
      <c r="X47" s="91"/>
      <c r="AB47" s="96"/>
    </row>
    <row r="48" spans="2:28">
      <c r="X48" s="91"/>
      <c r="AB48" s="96"/>
    </row>
    <row r="49" spans="24:28">
      <c r="X49" s="91"/>
      <c r="AB49" s="96"/>
    </row>
    <row r="50" spans="24:28">
      <c r="X50" s="91"/>
      <c r="AB50" s="96"/>
    </row>
  </sheetData>
  <sheetProtection algorithmName="SHA-512" hashValue="PWgJhkeEvgW8Bw5RTjvKrDgXqJa3Z1nVh/JlZWt/s/lZ7wE5NxI3z0w37oKE9KLLvS8mzgG8gTKruyvw9ZDCTA==" saltValue="DgYAhdRuLBj/h/8BlKFROw==" spinCount="100000" sheet="1" objects="1" scenarios="1"/>
  <protectedRanges>
    <protectedRange sqref="C10 G12:G13 D13:D14 O12:O14 B17:D36 F17:L36 M10:O11" name="Input"/>
  </protectedRanges>
  <mergeCells count="31">
    <mergeCell ref="D16:F16"/>
    <mergeCell ref="G12:H12"/>
    <mergeCell ref="B14:C14"/>
    <mergeCell ref="D14:H14"/>
    <mergeCell ref="D13:E13"/>
    <mergeCell ref="G13:H13"/>
    <mergeCell ref="B8:I8"/>
    <mergeCell ref="B10:B11"/>
    <mergeCell ref="C10:H11"/>
    <mergeCell ref="B12:F12"/>
    <mergeCell ref="J10:L10"/>
    <mergeCell ref="J11:L11"/>
    <mergeCell ref="J12:N12"/>
    <mergeCell ref="J14:N14"/>
    <mergeCell ref="J13:N13"/>
    <mergeCell ref="W10:W11"/>
    <mergeCell ref="X10:X11"/>
    <mergeCell ref="Y10:Y11"/>
    <mergeCell ref="Z10:Z11"/>
    <mergeCell ref="W17:W18"/>
    <mergeCell ref="X17:X18"/>
    <mergeCell ref="Y17:Y18"/>
    <mergeCell ref="Z17:Z18"/>
    <mergeCell ref="W14:W15"/>
    <mergeCell ref="X14:X15"/>
    <mergeCell ref="Y14:Y15"/>
    <mergeCell ref="Z14:Z15"/>
    <mergeCell ref="W12:W13"/>
    <mergeCell ref="X12:X13"/>
    <mergeCell ref="Y12:Y13"/>
    <mergeCell ref="Z12:Z13"/>
  </mergeCells>
  <phoneticPr fontId="2" type="noConversion"/>
  <dataValidations count="4">
    <dataValidation type="list" allowBlank="1" showInputMessage="1" showErrorMessage="1" sqref="B17:B36" xr:uid="{00000000-0002-0000-0000-000000000000}">
      <formula1>"SM,SP,SW,ML,CL-ML,CL,SC,CH,MH,GP,GW,GM"</formula1>
    </dataValidation>
    <dataValidation allowBlank="1" showInputMessage="1" showErrorMessage="1" promptTitle="鑽孔方式：" prompt="繩索滑輪式建議取60%_x000a_自動落錘式建議取72%_x000a_" sqref="O14" xr:uid="{00000000-0002-0000-0000-000001000000}"/>
    <dataValidation allowBlank="1" showErrorMessage="1" promptTitle="輸入建議：" sqref="M10:O10" xr:uid="{00000000-0002-0000-0000-000002000000}"/>
    <dataValidation allowBlank="1" showInputMessage="1" showErrorMessage="1" promptTitle="各鄉鎮地震矩規模" prompt="各鄉鎮設計地震之地震矩規模請參考土壤液化潛能評估各分區之設計地震規模。_x000a_最大地震之地震規模建議以設計地震矩規模加0.2；_x000a_中小地震之地震規模建議以設計地震矩規模減0.2。" sqref="M11:O11" xr:uid="{00000000-0002-0000-0000-000003000000}"/>
  </dataValidations>
  <pageMargins left="0.75" right="0.75" top="1" bottom="1" header="0.5" footer="0.5"/>
  <pageSetup paperSize="9" scale="23"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tabColor rgb="FF66FFFF"/>
  </sheetPr>
  <dimension ref="A1:AC71"/>
  <sheetViews>
    <sheetView view="pageBreakPreview" topLeftCell="A13" zoomScaleSheetLayoutView="100" workbookViewId="0">
      <selection activeCell="A15" sqref="A3:A15"/>
    </sheetView>
  </sheetViews>
  <sheetFormatPr defaultColWidth="9" defaultRowHeight="15.6"/>
  <cols>
    <col min="1" max="2" width="7.6640625" style="41" bestFit="1" customWidth="1"/>
    <col min="3" max="3" width="8.109375" style="41" bestFit="1" customWidth="1"/>
    <col min="4" max="4" width="7.21875" style="41" bestFit="1" customWidth="1"/>
    <col min="5" max="5" width="7.6640625" style="41" customWidth="1"/>
    <col min="6" max="6" width="7.44140625" style="41" bestFit="1" customWidth="1"/>
    <col min="7" max="9" width="5.6640625" style="41" bestFit="1" customWidth="1"/>
    <col min="10" max="10" width="6.6640625" style="41" bestFit="1" customWidth="1"/>
    <col min="11" max="11" width="6.44140625" style="41" bestFit="1" customWidth="1"/>
    <col min="12" max="12" width="6.6640625" style="41" bestFit="1" customWidth="1"/>
    <col min="13" max="13" width="9" style="41" customWidth="1"/>
    <col min="14" max="14" width="8.21875" style="41" customWidth="1"/>
    <col min="15" max="15" width="9.44140625" style="41" bestFit="1" customWidth="1"/>
    <col min="16" max="17" width="9" style="41"/>
    <col min="18" max="19" width="9" style="41" customWidth="1"/>
    <col min="20" max="21" width="9" style="41"/>
    <col min="22" max="22" width="13.21875" style="41" customWidth="1"/>
    <col min="23" max="23" width="9.33203125" style="41" bestFit="1" customWidth="1"/>
    <col min="24" max="24" width="7.6640625" style="41" customWidth="1"/>
    <col min="25" max="25" width="8" style="41" bestFit="1" customWidth="1"/>
    <col min="26" max="38" width="9" style="41"/>
    <col min="39" max="39" width="10.109375" style="41" bestFit="1" customWidth="1"/>
    <col min="40" max="40" width="9.44140625" style="41" bestFit="1" customWidth="1"/>
    <col min="41" max="16384" width="9" style="41"/>
  </cols>
  <sheetData>
    <row r="1" spans="1:21" ht="16.2">
      <c r="A1" s="61" t="s">
        <v>57</v>
      </c>
      <c r="B1" s="58"/>
      <c r="C1" s="58"/>
      <c r="D1" s="58"/>
      <c r="E1" s="58"/>
      <c r="F1" s="58"/>
      <c r="G1" s="58"/>
      <c r="H1" s="58"/>
      <c r="I1" s="58"/>
      <c r="J1" s="58"/>
      <c r="K1" s="58"/>
      <c r="L1" s="76" t="s">
        <v>74</v>
      </c>
      <c r="M1" s="58"/>
      <c r="N1" s="58"/>
      <c r="O1" s="58"/>
      <c r="P1" s="58"/>
      <c r="Q1" s="76" t="s">
        <v>75</v>
      </c>
      <c r="R1" s="58"/>
      <c r="S1" s="58"/>
      <c r="T1" s="58"/>
      <c r="U1" s="58"/>
    </row>
    <row r="2" spans="1:21" ht="24.9" customHeight="1">
      <c r="A2" s="42" t="s">
        <v>11</v>
      </c>
      <c r="B2" s="42" t="s">
        <v>15</v>
      </c>
      <c r="C2" s="42" t="s">
        <v>16</v>
      </c>
      <c r="D2" s="42" t="s">
        <v>3</v>
      </c>
      <c r="E2" s="42" t="s">
        <v>17</v>
      </c>
      <c r="F2" s="42" t="s">
        <v>1</v>
      </c>
      <c r="G2" s="42" t="s">
        <v>18</v>
      </c>
      <c r="H2" s="42" t="s">
        <v>0</v>
      </c>
      <c r="I2" s="42" t="s">
        <v>2</v>
      </c>
      <c r="J2" s="42" t="s">
        <v>22</v>
      </c>
      <c r="K2" s="42" t="s">
        <v>21</v>
      </c>
      <c r="L2" s="40" t="s">
        <v>3</v>
      </c>
      <c r="M2" s="40" t="s">
        <v>1</v>
      </c>
      <c r="N2" s="40" t="s">
        <v>0</v>
      </c>
      <c r="O2" s="40" t="s">
        <v>2</v>
      </c>
      <c r="P2" s="40" t="s">
        <v>6</v>
      </c>
      <c r="Q2" s="40" t="s">
        <v>3</v>
      </c>
      <c r="R2" s="40" t="s">
        <v>1</v>
      </c>
      <c r="S2" s="40" t="s">
        <v>0</v>
      </c>
      <c r="T2" s="40" t="s">
        <v>2</v>
      </c>
      <c r="U2" s="40" t="s">
        <v>6</v>
      </c>
    </row>
    <row r="3" spans="1:21">
      <c r="A3" s="51">
        <f>IF(Input!$L17="","",+Input!G17*Input!$O$14/60)</f>
        <v>9.6</v>
      </c>
      <c r="B3" s="32">
        <f>IF(Input!$L17="","",A3*MIN(1.7,(101.325/Input!R17)^0.5))</f>
        <v>16.32</v>
      </c>
      <c r="C3" s="27">
        <f>IF(Input!$L17="","",IF(Input!$H17&lt;=10,1,1+0.07*(Input!$H17-10)^0.5)*$B3)</f>
        <v>26.080669878650749</v>
      </c>
      <c r="D3" s="27">
        <f>IF(Input!$L17="","",(Input!$N$11/7.5)^-1.8)</f>
        <v>1.0498545285133156</v>
      </c>
      <c r="E3" s="27">
        <f>IF(Input!$L17="","",IF(OR(Input!$B17="CL",Input!$B17="SC",Input!$B17="CH",Input!$B17="MH",Input!$K17&gt;7,Input!$L17&lt;=Input!$O$12,$C3&gt;=39),"－",0.08+0.0035*$C3/(1-C3/39)))</f>
        <v>0.355556968124291</v>
      </c>
      <c r="F3" s="27">
        <f>IF(Input!$L17="","",IF(E3="－","－",E3*D3))</f>
        <v>0.3732830931297515</v>
      </c>
      <c r="G3" s="27">
        <f>IF(Input!$L17="","",IF(Input!$O17&lt;=10,1-0.01*Input!$O17,1.2-0.03*Input!$O17))</f>
        <v>0.98987499999999995</v>
      </c>
      <c r="H3" s="27">
        <f>IF(Input!$L17="","",IF(E3="－","－",0.65*Input!$N$10*Input!$P17/Input!$Q17*G3))</f>
        <v>0.31043132440782695</v>
      </c>
      <c r="I3" s="27">
        <f>IF(Input!$L17="","",IF(E3="－",3,MIN(3,F3/H3)))</f>
        <v>1.202465936199639</v>
      </c>
      <c r="J3" s="27">
        <f>IF(Input!$L17="","",10-0.5*Input!$O17)</f>
        <v>9.4937500000000004</v>
      </c>
      <c r="K3" s="27">
        <f>IF(Input!$L17="","",MAX(0,(1-I3))*MAX(0,MIN(Input!$L17-Input!$O$12,Input!$M17))*J3)</f>
        <v>0</v>
      </c>
      <c r="L3" s="27">
        <f>IF(Input!$L17="","",(Input!$M$11/7.5)^-1.8)</f>
        <v>1.1036852700014219</v>
      </c>
      <c r="M3" s="27">
        <f>IF(Input!$L17="","",IF(E3="－","－",$E3*L3))</f>
        <v>0.39242298836514505</v>
      </c>
      <c r="N3" s="27">
        <f>IF(Input!$L17="","",IF(E3="－","－",0.65*Input!$M$10*Input!$P17/Input!$Q17*G3))</f>
        <v>0.111237891246138</v>
      </c>
      <c r="O3" s="27">
        <f>IF(Input!$L17="","",IF(E3="－",3,MIN(3,M3/N3)))</f>
        <v>3</v>
      </c>
      <c r="P3" s="27">
        <f>IF(Input!$L17="","",MAX(0,(1-O3))*MAX(0,MIN(Input!$L17-Input!$O$12,Input!$M17))*J3)</f>
        <v>0</v>
      </c>
      <c r="Q3" s="27">
        <f>IF(Input!$L17="","",(Input!$O$11/7.5)^-1.8)</f>
        <v>1</v>
      </c>
      <c r="R3" s="27">
        <f>IF(Input!$L17="","",IF(E3="－","－",$E3*Q3))</f>
        <v>0.355556968124291</v>
      </c>
      <c r="S3" s="27">
        <f>IF(Input!$L17="","",IF(E3="－","－",0.65*Input!$O$10*Input!$P17/Input!$Q17*$G3))</f>
        <v>0.4139084325437693</v>
      </c>
      <c r="T3" s="27">
        <f>IF(Input!$L17="","",IF(E3="－",3,MIN(3,R3/S3)))</f>
        <v>0.85902325289468984</v>
      </c>
      <c r="U3" s="27">
        <f>IF(Input!$L17="","",MAX(0,(1-T3))*MAX(0,MIN(Input!$L17-Input!$O$12,Input!$M17))*$J3)</f>
        <v>2.7102559354828526</v>
      </c>
    </row>
    <row r="4" spans="1:21">
      <c r="A4" s="51">
        <f>IF(Input!$L18="","",+Input!G18*Input!$O$14/60)</f>
        <v>10.8</v>
      </c>
      <c r="B4" s="32">
        <f>IF(Input!$L18="","",A4*MIN(2,(101.325/Input!R18)^0.5))</f>
        <v>21.204400856602987</v>
      </c>
      <c r="C4" s="27">
        <f>IF(Input!$L18="","",IF(Input!$H18&lt;=10,1,1+0.07*(Input!$H18-10)^0.5)*$B4)</f>
        <v>34.563173396262869</v>
      </c>
      <c r="D4" s="27">
        <f>IF(Input!$L18="","",(Input!$N$11/7.5)^-1.8)</f>
        <v>1.0498545285133156</v>
      </c>
      <c r="E4" s="27" t="str">
        <f>IF(Input!$L18="","",IF(OR(Input!$B18="CL",Input!$B18="SC",Input!$B18="CH",Input!$B18="MH",Input!$K18&gt;7,Input!$L18&lt;=Input!$O$12,$C4&gt;=39),"－",0.08+0.0035*$C4/(1-C4/39)))</f>
        <v>－</v>
      </c>
      <c r="F4" s="27" t="str">
        <f>IF(Input!$L18="","",IF(E4="－","－",E4*D4))</f>
        <v>－</v>
      </c>
      <c r="G4" s="27">
        <f>IF(Input!$L18="","",IF(Input!$O18&lt;=10,1-0.01*Input!$O18,1.2-0.03*Input!$O18))</f>
        <v>0.97224999999999995</v>
      </c>
      <c r="H4" s="27" t="str">
        <f>IF(Input!$L18="","",IF(E4="－","－",0.65*Input!$N$10*Input!$P18/Input!$Q18*G4))</f>
        <v>－</v>
      </c>
      <c r="I4" s="27">
        <f>IF(Input!$L18="","",IF(E4="－",3,MIN(3,F4/H4)))</f>
        <v>3</v>
      </c>
      <c r="J4" s="27">
        <f>IF(Input!$L18="","",10-0.5*Input!$O18)</f>
        <v>8.6125000000000007</v>
      </c>
      <c r="K4" s="27">
        <f>IF(Input!$L18="","",MAX(0,(1-I4))*MAX(0,MIN(Input!$L18-Input!$O$12,Input!$M18))*J4)</f>
        <v>0</v>
      </c>
      <c r="L4" s="27">
        <f>IF(Input!$L18="","",(Input!$M$11/7.5)^-1.8)</f>
        <v>1.1036852700014219</v>
      </c>
      <c r="M4" s="27" t="str">
        <f>IF(Input!$L18="","",IF(E4="－","－",$E4*L4))</f>
        <v>－</v>
      </c>
      <c r="N4" s="27" t="str">
        <f>IF(Input!$L18="","",IF(E4="－","－",0.65*Input!$M$10*Input!$P18/Input!$Q18*G4))</f>
        <v>－</v>
      </c>
      <c r="O4" s="27">
        <f>IF(Input!$L18="","",IF(E4="－",3,MIN(3,M4/N4)))</f>
        <v>3</v>
      </c>
      <c r="P4" s="27">
        <f>IF(Input!$L18="","",MAX(0,(1-O4))*MAX(0,MIN(Input!$L18-Input!$O$12,Input!$M18))*J4)</f>
        <v>0</v>
      </c>
      <c r="Q4" s="27">
        <f>IF(Input!$L18="","",(Input!$O$11/7.5)^-1.8)</f>
        <v>1</v>
      </c>
      <c r="R4" s="27" t="str">
        <f>IF(Input!$L18="","",IF(E4="－","－",$E4*Q4))</f>
        <v>－</v>
      </c>
      <c r="S4" s="27" t="str">
        <f>IF(Input!$L18="","",IF(E4="－","－",0.65*Input!$O$10*Input!$P18/Input!$Q18*$G4))</f>
        <v>－</v>
      </c>
      <c r="T4" s="27">
        <f>IF(Input!$L18="","",IF(E4="－",3,MIN(3,R4/S4)))</f>
        <v>3</v>
      </c>
      <c r="U4" s="27">
        <f>IF(Input!$L18="","",MAX(0,(1-T4))*MAX(0,MIN(Input!$L18-Input!$O$12,Input!$M18))*$J4)</f>
        <v>0</v>
      </c>
    </row>
    <row r="5" spans="1:21">
      <c r="A5" s="51">
        <f>IF(Input!$L19="","",+Input!G19*Input!$O$14/60)</f>
        <v>24</v>
      </c>
      <c r="B5" s="32">
        <f>IF(Input!$L19="","",A5*MIN(2,(101.325/Input!R19)^0.5))</f>
        <v>38.282820249207354</v>
      </c>
      <c r="C5" s="27">
        <f>IF(Input!$L19="","",IF(Input!$H19&lt;=10,1,1+0.07*(Input!$H19-10)^0.5)*$B5)</f>
        <v>43.642415084096392</v>
      </c>
      <c r="D5" s="27">
        <f>IF(Input!$L19="","",(Input!$N$11/7.5)^-1.8)</f>
        <v>1.0498545285133156</v>
      </c>
      <c r="E5" s="27" t="str">
        <f>IF(Input!$L19="","",IF(OR(Input!$B19="CL",Input!$B19="SC",Input!$B19="CH",Input!$B19="MH",Input!$K19&gt;7,Input!$L19&lt;=Input!$O$12,$C5&gt;=39),"－",0.08+0.0035*$C5/(1-C5/39)))</f>
        <v>－</v>
      </c>
      <c r="F5" s="27" t="str">
        <f>IF(Input!$L19="","",IF(E5="－","－",E5*D5))</f>
        <v>－</v>
      </c>
      <c r="G5" s="27">
        <f>IF(Input!$L19="","",IF(Input!$O19&lt;=10,1-0.01*Input!$O19,1.2-0.03*Input!$O19))</f>
        <v>0.95725000000000005</v>
      </c>
      <c r="H5" s="27" t="str">
        <f>IF(Input!$L19="","",IF(E5="－","－",0.65*Input!$N$10*Input!$P19/Input!$Q19*G5))</f>
        <v>－</v>
      </c>
      <c r="I5" s="27">
        <f>IF(Input!$L19="","",IF(E5="－",3,MIN(3,F5/H5)))</f>
        <v>3</v>
      </c>
      <c r="J5" s="27">
        <f>IF(Input!$L19="","",10-0.5*Input!$O19)</f>
        <v>7.8624999999999998</v>
      </c>
      <c r="K5" s="27">
        <f>IF(Input!$L19="","",MAX(0,(1-I5))*MAX(0,MIN(Input!$L19-Input!$O$12,Input!$M19))*J5)</f>
        <v>0</v>
      </c>
      <c r="L5" s="27">
        <f>IF(Input!$L19="","",(Input!$M$11/7.5)^-1.8)</f>
        <v>1.1036852700014219</v>
      </c>
      <c r="M5" s="27" t="str">
        <f>IF(Input!$L19="","",IF(E5="－","－",$E5*L5))</f>
        <v>－</v>
      </c>
      <c r="N5" s="27" t="str">
        <f>IF(Input!$L19="","",IF(E5="－","－",0.65*Input!$M$10*Input!$P19/Input!$Q19*G5))</f>
        <v>－</v>
      </c>
      <c r="O5" s="27">
        <f>IF(Input!$L19="","",IF(E5="－",3,MIN(3,M5/N5)))</f>
        <v>3</v>
      </c>
      <c r="P5" s="27">
        <f>IF(Input!$L19="","",MAX(0,(1-O5))*MAX(0,MIN(Input!$L19-Input!$O$12,Input!$M19))*J5)</f>
        <v>0</v>
      </c>
      <c r="Q5" s="27">
        <f>IF(Input!$L19="","",(Input!$O$11/7.5)^-1.8)</f>
        <v>1</v>
      </c>
      <c r="R5" s="27" t="str">
        <f>IF(Input!$L19="","",IF(E5="－","－",$E5*Q5))</f>
        <v>－</v>
      </c>
      <c r="S5" s="27" t="str">
        <f>IF(Input!$L19="","",IF(E5="－","－",0.65*Input!$O$10*Input!$P19/Input!$Q19*$G5))</f>
        <v>－</v>
      </c>
      <c r="T5" s="27">
        <f>IF(Input!$L19="","",IF(E5="－",3,MIN(3,R5/S5)))</f>
        <v>3</v>
      </c>
      <c r="U5" s="27">
        <f>IF(Input!$L19="","",MAX(0,(1-T5))*MAX(0,MIN(Input!$L19-Input!$O$12,Input!$M19))*$J5)</f>
        <v>0</v>
      </c>
    </row>
    <row r="6" spans="1:21">
      <c r="A6" s="51">
        <f>IF(Input!$L20="","",+Input!G20*Input!$O$14/60)</f>
        <v>27.6</v>
      </c>
      <c r="B6" s="32">
        <f>IF(Input!$L20="","",A6*MIN(2,(101.325/Input!R20)^0.5))</f>
        <v>38.059570624930792</v>
      </c>
      <c r="C6" s="27">
        <f>IF(Input!$L20="","",IF(Input!$H20&lt;=10,1,1+0.07*(Input!$H20-10)^0.5)*$B6)</f>
        <v>41.827275891841957</v>
      </c>
      <c r="D6" s="27">
        <f>IF(Input!$L20="","",(Input!$N$11/7.5)^-1.8)</f>
        <v>1.0498545285133156</v>
      </c>
      <c r="E6" s="27" t="str">
        <f>IF(Input!$L20="","",IF(OR(Input!$B20="CL",Input!$B20="SC",Input!$B20="CH",Input!$B20="MH",Input!$K20&gt;7,Input!$L20&lt;=Input!$O$12,$C6&gt;=39),"－",0.08+0.0035*$C6/(1-C6/39)))</f>
        <v>－</v>
      </c>
      <c r="F6" s="27" t="str">
        <f>IF(Input!$L20="","",IF(E6="－","－",E6*D6))</f>
        <v>－</v>
      </c>
      <c r="G6" s="27">
        <f>IF(Input!$L20="","",IF(Input!$O20&lt;=10,1-0.01*Input!$O20,1.2-0.03*Input!$O20))</f>
        <v>0.94225000000000003</v>
      </c>
      <c r="H6" s="27" t="str">
        <f>IF(Input!$L20="","",IF(E6="－","－",0.65*Input!$N$10*Input!$P20/Input!$Q20*G6))</f>
        <v>－</v>
      </c>
      <c r="I6" s="27">
        <f>IF(Input!$L20="","",IF(E6="－",3,MIN(3,F6/H6)))</f>
        <v>3</v>
      </c>
      <c r="J6" s="27">
        <f>IF(Input!$L20="","",10-0.5*Input!$O20)</f>
        <v>7.1124999999999998</v>
      </c>
      <c r="K6" s="27">
        <f>IF(Input!$L20="","",MAX(0,(1-I6))*MAX(0,MIN(Input!$L20-Input!$O$12,Input!$M20))*J6)</f>
        <v>0</v>
      </c>
      <c r="L6" s="27">
        <f>IF(Input!$L20="","",(Input!$M$11/7.5)^-1.8)</f>
        <v>1.1036852700014219</v>
      </c>
      <c r="M6" s="27" t="str">
        <f>IF(Input!$L20="","",IF(E6="－","－",$E6*L6))</f>
        <v>－</v>
      </c>
      <c r="N6" s="27" t="str">
        <f>IF(Input!$L20="","",IF(E6="－","－",0.65*Input!$M$10*Input!$P20/Input!$Q20*G6))</f>
        <v>－</v>
      </c>
      <c r="O6" s="27">
        <f>IF(Input!$L20="","",IF(E6="－",3,MIN(3,M6/N6)))</f>
        <v>3</v>
      </c>
      <c r="P6" s="27">
        <f>IF(Input!$L20="","",MAX(0,(1-O6))*MAX(0,MIN(Input!$L20-Input!$O$12,Input!$M20))*J6)</f>
        <v>0</v>
      </c>
      <c r="Q6" s="27">
        <f>IF(Input!$L20="","",(Input!$O$11/7.5)^-1.8)</f>
        <v>1</v>
      </c>
      <c r="R6" s="27" t="str">
        <f>IF(Input!$L20="","",IF(E6="－","－",$E6*Q6))</f>
        <v>－</v>
      </c>
      <c r="S6" s="27" t="str">
        <f>IF(Input!$L20="","",IF(E6="－","－",0.65*Input!$O$10*Input!$P20/Input!$Q20*$G6))</f>
        <v>－</v>
      </c>
      <c r="T6" s="27">
        <f>IF(Input!$L20="","",IF(E6="－",3,MIN(3,R6/S6)))</f>
        <v>3</v>
      </c>
      <c r="U6" s="27">
        <f>IF(Input!$L20="","",MAX(0,(1-T6))*MAX(0,MIN(Input!$L20-Input!$O$12,Input!$M20))*$J6)</f>
        <v>0</v>
      </c>
    </row>
    <row r="7" spans="1:21">
      <c r="A7" s="51">
        <f>IF(Input!$L21="","",+Input!G21*Input!$O$14/60)</f>
        <v>19.2</v>
      </c>
      <c r="B7" s="32">
        <f>IF(Input!$L21="","",A7*MIN(2,(101.325/Input!R21)^0.5))</f>
        <v>23.636084658082371</v>
      </c>
      <c r="C7" s="27">
        <f>IF(Input!$L21="","",IF(Input!$H21&lt;=10,1,1+0.07*(Input!$H21-10)^0.5)*$B7)</f>
        <v>27.335717099301217</v>
      </c>
      <c r="D7" s="27">
        <f>IF(Input!$L21="","",(Input!$N$11/7.5)^-1.8)</f>
        <v>1.0498545285133156</v>
      </c>
      <c r="E7" s="27">
        <f>IF(Input!$L21="","",IF(OR(Input!$B21="CL",Input!$B21="SC",Input!$B21="CH",Input!$B21="MH",Input!$K21&gt;7,Input!$L21&lt;=Input!$O$12,$C7&gt;=39),"－",0.08+0.0035*$C7/(1-C7/39)))</f>
        <v>0.39989325154580058</v>
      </c>
      <c r="F7" s="27">
        <f>IF(Input!$L21="","",IF(E7="－","－",E7*D7))</f>
        <v>0.41982974105727316</v>
      </c>
      <c r="G7" s="27">
        <f>IF(Input!$L21="","",IF(Input!$O21&lt;=10,1-0.01*Input!$O21,1.2-0.03*Input!$O21))</f>
        <v>0.92725000000000002</v>
      </c>
      <c r="H7" s="27">
        <f>IF(Input!$L21="","",IF(E7="－","－",0.65*Input!$N$10*Input!$P21/Input!$Q21*G7))</f>
        <v>0.29905389866176091</v>
      </c>
      <c r="I7" s="27">
        <f>IF(Input!$L21="","",IF(E7="－",3,MIN(3,F7/H7)))</f>
        <v>1.40385978225321</v>
      </c>
      <c r="J7" s="27">
        <f>IF(Input!$L21="","",10-0.5*Input!$O21)</f>
        <v>6.3624999999999998</v>
      </c>
      <c r="K7" s="27">
        <f>IF(Input!$L21="","",MAX(0,(1-I7))*MAX(0,MIN(Input!$L21-Input!$O$12,Input!$M21))*J7)</f>
        <v>0</v>
      </c>
      <c r="L7" s="27">
        <f>IF(Input!$L21="","",(Input!$M$11/7.5)^-1.8)</f>
        <v>1.1036852700014219</v>
      </c>
      <c r="M7" s="27">
        <f>IF(Input!$L21="","",IF(E7="－","－",$E7*L7))</f>
        <v>0.44135629130407344</v>
      </c>
      <c r="N7" s="27">
        <f>IF(Input!$L21="","",IF(E7="－","－",0.65*Input!$M$10*Input!$P21/Input!$Q21*G7))</f>
        <v>0.10716098035379765</v>
      </c>
      <c r="O7" s="27">
        <f>IF(Input!$L21="","",IF(E7="－",3,MIN(3,M7/N7)))</f>
        <v>3</v>
      </c>
      <c r="P7" s="27">
        <f>IF(Input!$L21="","",MAX(0,(1-O7))*MAX(0,MIN(Input!$L21-Input!$O$12,Input!$M21))*J7)</f>
        <v>0</v>
      </c>
      <c r="Q7" s="27">
        <f>IF(Input!$L21="","",(Input!$O$11/7.5)^-1.8)</f>
        <v>1</v>
      </c>
      <c r="R7" s="27">
        <f>IF(Input!$L21="","",IF(E7="－","－",$E7*Q7))</f>
        <v>0.39989325154580058</v>
      </c>
      <c r="S7" s="27">
        <f>IF(Input!$L21="","",IF(E7="－","－",0.65*Input!$O$10*Input!$P21/Input!$Q21*$G7))</f>
        <v>0.39873853154901456</v>
      </c>
      <c r="T7" s="27">
        <f>IF(Input!$L21="","",IF(E7="－",3,MIN(3,R7/S7)))</f>
        <v>1.0028959328116602</v>
      </c>
      <c r="U7" s="27">
        <f>IF(Input!$L21="","",MAX(0,(1-T7))*MAX(0,MIN(Input!$L21-Input!$O$12,Input!$M21))*$J7)</f>
        <v>0</v>
      </c>
    </row>
    <row r="8" spans="1:21">
      <c r="A8" s="51">
        <f>IF(Input!$L22="","",+Input!G22*Input!$O$14/60)</f>
        <v>18</v>
      </c>
      <c r="B8" s="32">
        <f>IF(Input!$L22="","",A8*MIN(2,(101.325/Input!R22)^0.5))</f>
        <v>20.174418677094216</v>
      </c>
      <c r="C8" s="27">
        <f>IF(Input!$L22="","",IF(Input!$H22&lt;=10,1,1+0.07*(Input!$H22-10)^0.5)*$B8)</f>
        <v>22.620436948426772</v>
      </c>
      <c r="D8" s="27">
        <f>IF(Input!$L22="","",(Input!$N$11/7.5)^-1.8)</f>
        <v>1.0498545285133156</v>
      </c>
      <c r="E8" s="27">
        <f>IF(Input!$L22="","",IF(OR(Input!$B22="CL",Input!$B22="SC",Input!$B22="CH",Input!$B22="MH",Input!$K22&gt;7,Input!$L22&lt;=Input!$O$12,$C8&gt;=39),"－",0.08+0.0035*$C8/(1-C8/39)))</f>
        <v>0.26850866984291666</v>
      </c>
      <c r="F8" s="27">
        <f>IF(Input!$L22="","",IF(E8="－","－",E8*D8))</f>
        <v>0.28189504297967277</v>
      </c>
      <c r="G8" s="27">
        <f>IF(Input!$L22="","",IF(Input!$O22&lt;=10,1-0.01*Input!$O22,1.2-0.03*Input!$O22))</f>
        <v>0.91225000000000001</v>
      </c>
      <c r="H8" s="27">
        <f>IF(Input!$L22="","",IF(E8="－","－",0.65*Input!$N$10*Input!$P22/Input!$Q22*G8))</f>
        <v>0.29418905933219897</v>
      </c>
      <c r="I8" s="27">
        <f>IF(Input!$L22="","",IF(E8="－",3,MIN(3,F8/H8)))</f>
        <v>0.95821049096647826</v>
      </c>
      <c r="J8" s="27">
        <f>IF(Input!$L22="","",10-0.5*Input!$O22)</f>
        <v>5.6124999999999998</v>
      </c>
      <c r="K8" s="27">
        <f>IF(Input!$L22="","",MAX(0,(1-I8))*MAX(0,MIN(Input!$L22-Input!$O$12,Input!$M22))*J8)</f>
        <v>0.35181542917596115</v>
      </c>
      <c r="L8" s="27">
        <f>IF(Input!$L22="","",(Input!$M$11/7.5)^-1.8)</f>
        <v>1.1036852700014219</v>
      </c>
      <c r="M8" s="27">
        <f>IF(Input!$L22="","",IF(E8="－","－",$E8*L8))</f>
        <v>0.29634906377330211</v>
      </c>
      <c r="N8" s="27">
        <f>IF(Input!$L22="","",IF(E8="－","－",0.65*Input!$M$10*Input!$P22/Input!$Q22*G8))</f>
        <v>0.10541774626070463</v>
      </c>
      <c r="O8" s="27">
        <f>IF(Input!$L22="","",IF(E8="－",3,MIN(3,M8/N8)))</f>
        <v>2.8111876252828671</v>
      </c>
      <c r="P8" s="27">
        <f>IF(Input!$L22="","",MAX(0,(1-O8))*MAX(0,MIN(Input!$L22-Input!$O$12,Input!$M22))*J8)</f>
        <v>0</v>
      </c>
      <c r="Q8" s="27">
        <f>IF(Input!$L22="","",(Input!$O$11/7.5)^-1.8)</f>
        <v>1</v>
      </c>
      <c r="R8" s="27">
        <f>IF(Input!$L22="","",IF(E8="－","－",$E8*Q8))</f>
        <v>0.26850866984291666</v>
      </c>
      <c r="S8" s="27">
        <f>IF(Input!$L22="","",IF(E8="－","－",0.65*Input!$O$10*Input!$P22/Input!$Q22*$G8))</f>
        <v>0.39225207910959864</v>
      </c>
      <c r="T8" s="27">
        <f>IF(Input!$L22="","",IF(E8="－",3,MIN(3,R8/S8)))</f>
        <v>0.68453090281235451</v>
      </c>
      <c r="U8" s="27">
        <f>IF(Input!$L22="","",MAX(0,(1-T8))*MAX(0,MIN(Input!$L22-Input!$O$12,Input!$M22))*$J8)</f>
        <v>2.6558554619484904</v>
      </c>
    </row>
    <row r="9" spans="1:21">
      <c r="A9" s="51">
        <f>IF(Input!$L23="","",+Input!G23*Input!$O$14/60)</f>
        <v>8.4</v>
      </c>
      <c r="B9" s="32">
        <f>IF(Input!$L23="","",A9*MIN(2,(101.325/Input!R23)^0.5))</f>
        <v>8.7272896151361206</v>
      </c>
      <c r="C9" s="27">
        <f>IF(Input!$L23="","",IF(Input!$H23&lt;=10,1,1+0.07*(Input!$H23-10)^0.5)*$B9)</f>
        <v>12.686440684828467</v>
      </c>
      <c r="D9" s="27">
        <f>IF(Input!$L23="","",(Input!$N$11/7.5)^-1.8)</f>
        <v>1.0498545285133156</v>
      </c>
      <c r="E9" s="27">
        <f>IF(Input!$L23="","",IF(OR(Input!$B23="CL",Input!$B23="SC",Input!$B23="CH",Input!$B23="MH",Input!$K23&gt;7,Input!$L23&lt;=Input!$O$12,$C9&gt;=39),"－",0.08+0.0035*$C9/(1-C9/39)))</f>
        <v>0.1458101449802971</v>
      </c>
      <c r="F9" s="27">
        <f>IF(Input!$L23="","",IF(E9="－","－",E9*D9))</f>
        <v>0.153079441010748</v>
      </c>
      <c r="G9" s="27">
        <f>IF(Input!$L23="","",IF(Input!$O23&lt;=10,1-0.01*Input!$O23,1.2-0.03*Input!$O23))</f>
        <v>0.89174999999999993</v>
      </c>
      <c r="H9" s="27">
        <f>IF(Input!$L23="","",IF(E9="－","－",0.65*Input!$N$10*Input!$P23/Input!$Q23*G9))</f>
        <v>0.28849633342122288</v>
      </c>
      <c r="I9" s="27">
        <f>IF(Input!$L23="","",IF(E9="－",3,MIN(3,F9/H9)))</f>
        <v>0.53061139181704031</v>
      </c>
      <c r="J9" s="27">
        <f>IF(Input!$L23="","",10-0.5*Input!$O23)</f>
        <v>4.8624999999999998</v>
      </c>
      <c r="K9" s="27">
        <f>IF(Input!$L23="","",MAX(0,(1-I9))*MAX(0,MIN(Input!$L23-Input!$O$12,Input!$M23))*J9)</f>
        <v>3.4236031609344622</v>
      </c>
      <c r="L9" s="27">
        <f>IF(Input!$L23="","",(Input!$M$11/7.5)^-1.8)</f>
        <v>1.1036852700014219</v>
      </c>
      <c r="M9" s="27">
        <f>IF(Input!$L23="","",IF(E9="－","－",$E9*L9))</f>
        <v>0.16092850923152568</v>
      </c>
      <c r="N9" s="27">
        <f>IF(Input!$L23="","",IF(E9="－","－",0.65*Input!$M$10*Input!$P23/Input!$Q23*G9))</f>
        <v>0.10337785280927153</v>
      </c>
      <c r="O9" s="27">
        <f>IF(Input!$L23="","",IF(E9="－",3,MIN(3,M9/N9)))</f>
        <v>1.5567019904005268</v>
      </c>
      <c r="P9" s="27">
        <f>IF(Input!$L23="","",MAX(0,(1-O9))*MAX(0,MIN(Input!$L23-Input!$O$12,Input!$M23))*J9)</f>
        <v>0</v>
      </c>
      <c r="Q9" s="27">
        <f>IF(Input!$L23="","",(Input!$O$11/7.5)^-1.8)</f>
        <v>1</v>
      </c>
      <c r="R9" s="27">
        <f>IF(Input!$L23="","",IF(E9="－","－",$E9*Q9))</f>
        <v>0.1458101449802971</v>
      </c>
      <c r="S9" s="27">
        <f>IF(Input!$L23="","",IF(E9="－","－",0.65*Input!$O$10*Input!$P23/Input!$Q23*$G9))</f>
        <v>0.38466177789496397</v>
      </c>
      <c r="T9" s="27">
        <f>IF(Input!$L23="","",IF(E9="－",3,MIN(3,R9/S9)))</f>
        <v>0.37906065369487302</v>
      </c>
      <c r="U9" s="27">
        <f>IF(Input!$L23="","",MAX(0,(1-T9))*MAX(0,MIN(Input!$L23-Input!$O$12,Input!$M23))*$J9)</f>
        <v>4.5289763571130193</v>
      </c>
    </row>
    <row r="10" spans="1:21">
      <c r="A10" s="51">
        <f>IF(Input!$L24="","",+Input!G24*Input!$O$14/60)</f>
        <v>9.6</v>
      </c>
      <c r="B10" s="32">
        <f>IF(Input!$L24="","",A10*MIN(2,(101.325/Input!R24)^0.5))</f>
        <v>9.3243117230962902</v>
      </c>
      <c r="C10" s="27">
        <f>IF(Input!$L24="","",IF(Input!$H24&lt;=10,1,1+0.07*(Input!$H24-10)^0.5)*$B10)</f>
        <v>13.653845801031459</v>
      </c>
      <c r="D10" s="27">
        <f>IF(Input!$L24="","",(Input!$N$11/7.5)^-1.8)</f>
        <v>1.0498545285133156</v>
      </c>
      <c r="E10" s="27">
        <f>IF(Input!$L24="","",IF(OR(Input!$B24="CL",Input!$B24="SC",Input!$B24="CH",Input!$B24="MH",Input!$K24&gt;7,Input!$L24&lt;=Input!$O$12,$C10&gt;=39),"－",0.08+0.0035*$C10/(1-C10/39)))</f>
        <v>0.15353186354072759</v>
      </c>
      <c r="F10" s="27">
        <f>IF(Input!$L24="","",IF(E10="－","－",E10*D10))</f>
        <v>0.16118612220932127</v>
      </c>
      <c r="G10" s="27">
        <f>IF(Input!$L24="","",IF(Input!$O24&lt;=10,1-0.01*Input!$O24,1.2-0.03*Input!$O24))</f>
        <v>0.84674999999999989</v>
      </c>
      <c r="H10" s="27">
        <f>IF(Input!$L24="","",IF(E10="－","－",0.65*Input!$N$10*Input!$P24/Input!$Q24*G10))</f>
        <v>0.27415705818849634</v>
      </c>
      <c r="I10" s="27">
        <f>IF(Input!$L24="","",IF(E10="－",3,MIN(3,F10/H10)))</f>
        <v>0.58793351254337556</v>
      </c>
      <c r="J10" s="27">
        <f>IF(Input!$L24="","",10-0.5*Input!$O24)</f>
        <v>4.1124999999999998</v>
      </c>
      <c r="K10" s="27">
        <f>IF(Input!$L24="","",MAX(0,(1-I10))*MAX(0,MIN(Input!$L24-Input!$O$12,Input!$M24))*J10)</f>
        <v>2.5419351444980518</v>
      </c>
      <c r="L10" s="27">
        <f>IF(Input!$L24="","",(Input!$M$11/7.5)^-1.8)</f>
        <v>1.1036852700014219</v>
      </c>
      <c r="M10" s="27">
        <f>IF(Input!$L24="","",IF(E10="－","－",$E10*L10))</f>
        <v>0.16945085626576939</v>
      </c>
      <c r="N10" s="27">
        <f>IF(Input!$L24="","",IF(E10="－","－",0.65*Input!$M$10*Input!$P24/Input!$Q24*G10))</f>
        <v>9.8239612517544525E-2</v>
      </c>
      <c r="O10" s="27">
        <f>IF(Input!$L24="","",IF(E10="－",3,MIN(3,M10/N10)))</f>
        <v>1.7248730112357407</v>
      </c>
      <c r="P10" s="27">
        <f>IF(Input!$L24="","",MAX(0,(1-O10))*MAX(0,MIN(Input!$L24-Input!$O$12,Input!$M24))*J10)</f>
        <v>0</v>
      </c>
      <c r="Q10" s="27">
        <f>IF(Input!$L24="","",(Input!$O$11/7.5)^-1.8)</f>
        <v>1</v>
      </c>
      <c r="R10" s="27">
        <f>IF(Input!$L24="","",IF(E10="－","－",$E10*Q10))</f>
        <v>0.15353186354072759</v>
      </c>
      <c r="S10" s="27">
        <f>IF(Input!$L24="","",IF(E10="－","－",0.65*Input!$O$10*Input!$P24/Input!$Q24*$G10))</f>
        <v>0.36554274425132849</v>
      </c>
      <c r="T10" s="27">
        <f>IF(Input!$L24="","",IF(E10="－",3,MIN(3,R10/S10)))</f>
        <v>0.420010699036518</v>
      </c>
      <c r="U10" s="27">
        <f>IF(Input!$L24="","",MAX(0,(1-T10))*MAX(0,MIN(Input!$L24-Input!$O$12,Input!$M24))*$J10)</f>
        <v>3.5778090003184793</v>
      </c>
    </row>
    <row r="11" spans="1:21">
      <c r="A11" s="51">
        <f>IF(Input!$L25="","",+Input!G25*Input!$O$14/60)</f>
        <v>10.8</v>
      </c>
      <c r="B11" s="32">
        <f>IF(Input!$L25="","",A11*MIN(2,(101.325/Input!R25)^0.5))</f>
        <v>9.9019452669381511</v>
      </c>
      <c r="C11" s="27">
        <f>IF(Input!$L25="","",IF(Input!$H25&lt;=10,1,1+0.07*(Input!$H25-10)^0.5)*$B11)</f>
        <v>14.653847430492423</v>
      </c>
      <c r="D11" s="27">
        <f>IF(Input!$L25="","",(Input!$N$11/7.5)^-1.8)</f>
        <v>1.0498545285133156</v>
      </c>
      <c r="E11" s="27">
        <f>IF(Input!$L25="","",IF(OR(Input!$B25="CL",Input!$B25="SC",Input!$B25="CH",Input!$B25="MH",Input!$K25&gt;7,Input!$L25&lt;=Input!$O$12,$C11&gt;=39),"－",0.08+0.0035*$C11/(1-C11/39)))</f>
        <v>0.16215877923838512</v>
      </c>
      <c r="F11" s="27">
        <f>IF(Input!$L25="","",IF(E11="－","－",E11*D11))</f>
        <v>0.17024312872160965</v>
      </c>
      <c r="G11" s="27">
        <f>IF(Input!$L25="","",IF(Input!$O25&lt;=10,1-0.01*Input!$O25,1.2-0.03*Input!$O25))</f>
        <v>0.80174999999999996</v>
      </c>
      <c r="H11" s="27">
        <f>IF(Input!$L25="","",IF(E11="－","－",0.65*Input!$N$10*Input!$P25/Input!$Q25*G11))</f>
        <v>0.26020058762918674</v>
      </c>
      <c r="I11" s="27">
        <f>IF(Input!$L25="","",IF(E11="－",3,MIN(3,F11/H11)))</f>
        <v>0.65427649596327608</v>
      </c>
      <c r="J11" s="27">
        <f>IF(Input!$L25="","",10-0.5*Input!$O25)</f>
        <v>3.3624999999999998</v>
      </c>
      <c r="K11" s="27">
        <f>IF(Input!$L25="","",MAX(0,(1-I11))*MAX(0,MIN(Input!$L25-Input!$O$12,Input!$M25))*J11)</f>
        <v>1.7437429234852262</v>
      </c>
      <c r="L11" s="27">
        <f>IF(Input!$L25="","",(Input!$M$11/7.5)^-1.8)</f>
        <v>1.1036852700014219</v>
      </c>
      <c r="M11" s="27">
        <f>IF(Input!$L25="","",IF(E11="－","－",$E11*L11))</f>
        <v>0.17897225604681805</v>
      </c>
      <c r="N11" s="27">
        <f>IF(Input!$L25="","",IF(E11="－","－",0.65*Input!$M$10*Input!$P25/Input!$Q25*G11))</f>
        <v>9.3238543900458562E-2</v>
      </c>
      <c r="O11" s="27">
        <f>IF(Input!$L25="","",IF(E11="－",3,MIN(3,M11/N11)))</f>
        <v>1.9195093419507792</v>
      </c>
      <c r="P11" s="27">
        <f>IF(Input!$L25="","",MAX(0,(1-O11))*MAX(0,MIN(Input!$L25-Input!$O$12,Input!$M25))*J11)</f>
        <v>0</v>
      </c>
      <c r="Q11" s="27">
        <f>IF(Input!$L25="","",(Input!$O$11/7.5)^-1.8)</f>
        <v>1</v>
      </c>
      <c r="R11" s="27">
        <f>IF(Input!$L25="","",IF(E11="－","－",$E11*Q11))</f>
        <v>0.16215877923838512</v>
      </c>
      <c r="S11" s="27">
        <f>IF(Input!$L25="","",IF(E11="－","－",0.65*Input!$O$10*Input!$P25/Input!$Q25*$G11))</f>
        <v>0.34693411683891562</v>
      </c>
      <c r="T11" s="27">
        <f>IF(Input!$L25="","",IF(E11="－",3,MIN(3,R11/S11)))</f>
        <v>0.46740511056073736</v>
      </c>
      <c r="U11" s="27">
        <f>IF(Input!$L25="","",MAX(0,(1-T11))*MAX(0,MIN(Input!$L25-Input!$O$12,Input!$M25))*$J11)</f>
        <v>2.6862754736092809</v>
      </c>
    </row>
    <row r="12" spans="1:21">
      <c r="A12" s="51">
        <f>IF(Input!$L26="","",+Input!G26*Input!$O$14/60)</f>
        <v>9.6</v>
      </c>
      <c r="B12" s="32">
        <f>IF(Input!$L26="","",A12*MIN(2,(101.325/Input!R26)^0.5))</f>
        <v>8.3549076458528919</v>
      </c>
      <c r="C12" s="27">
        <f>IF(Input!$L26="","",IF(Input!$H26&lt;=10,1,1+0.07*(Input!$H26-10)^0.5)*$B12)</f>
        <v>11.814888660783522</v>
      </c>
      <c r="D12" s="27">
        <f>IF(Input!$L26="","",(Input!$N$11/7.5)^-1.8)</f>
        <v>1.0498545285133156</v>
      </c>
      <c r="E12" s="27">
        <f>IF(Input!$L26="","",IF(OR(Input!$B26="CL",Input!$B26="SC",Input!$B26="CH",Input!$B26="MH",Input!$K26&gt;7,Input!$L26&lt;=Input!$O$12,$C12&gt;=39),"－",0.08+0.0035*$C12/(1-C12/39)))</f>
        <v>0.1393241014198264</v>
      </c>
      <c r="F12" s="27">
        <f>IF(Input!$L26="","",IF(E12="－","－",E12*D12))</f>
        <v>0.14627003880665321</v>
      </c>
      <c r="G12" s="27">
        <f>IF(Input!$L26="","",IF(Input!$O26&lt;=10,1-0.01*Input!$O26,1.2-0.03*Input!$O26))</f>
        <v>0.75675000000000003</v>
      </c>
      <c r="H12" s="27">
        <f>IF(Input!$L26="","",IF(E12="－","－",0.65*Input!$N$10*Input!$P26/Input!$Q26*G12))</f>
        <v>0.24596101337130752</v>
      </c>
      <c r="I12" s="27">
        <f>IF(Input!$L26="","",IF(E12="－",3,MIN(3,F12/H12)))</f>
        <v>0.59468790115058245</v>
      </c>
      <c r="J12" s="27">
        <f>IF(Input!$L26="","",10-0.5*Input!$O26)</f>
        <v>2.6124999999999998</v>
      </c>
      <c r="K12" s="27">
        <f>IF(Input!$L26="","",MAX(0,(1-I12))*MAX(0,MIN(Input!$L26-Input!$O$12,Input!$M26))*J12)</f>
        <v>1.588316787366155</v>
      </c>
      <c r="L12" s="27">
        <f>IF(Input!$L26="","",(Input!$M$11/7.5)^-1.8)</f>
        <v>1.1036852700014219</v>
      </c>
      <c r="M12" s="27">
        <f>IF(Input!$L26="","",IF(E12="－","－",$E12*L12))</f>
        <v>0.15376995849324659</v>
      </c>
      <c r="N12" s="27">
        <f>IF(Input!$L26="","",IF(E12="－","－",0.65*Input!$M$10*Input!$P26/Input!$Q26*G12))</f>
        <v>8.813602979138517E-2</v>
      </c>
      <c r="O12" s="27">
        <f>IF(Input!$L26="","",IF(E12="－",3,MIN(3,M12/N12)))</f>
        <v>1.7446889638348198</v>
      </c>
      <c r="P12" s="27">
        <f>IF(Input!$L26="","",MAX(0,(1-O12))*MAX(0,MIN(Input!$L26-Input!$O$12,Input!$M26))*J12)</f>
        <v>0</v>
      </c>
      <c r="Q12" s="27">
        <f>IF(Input!$L26="","",(Input!$O$11/7.5)^-1.8)</f>
        <v>1</v>
      </c>
      <c r="R12" s="27">
        <f>IF(Input!$L26="","",IF(E12="－","－",$E12*Q12))</f>
        <v>0.1393241014198264</v>
      </c>
      <c r="S12" s="27">
        <f>IF(Input!$L26="","",IF(E12="－","－",0.65*Input!$O$10*Input!$P26/Input!$Q26*$G12))</f>
        <v>0.32794801782841004</v>
      </c>
      <c r="T12" s="27">
        <f>IF(Input!$L26="","",IF(E12="－",3,MIN(3,R12/S12)))</f>
        <v>0.42483593083561183</v>
      </c>
      <c r="U12" s="27">
        <f>IF(Input!$L26="","",MAX(0,(1-T12))*MAX(0,MIN(Input!$L26-Input!$O$12,Input!$M26))*$J12)</f>
        <v>2.2539241960379464</v>
      </c>
    </row>
    <row r="13" spans="1:21">
      <c r="A13" s="51">
        <f>IF(Input!$L27="","",+Input!G27*Input!$O$14/60)</f>
        <v>7.2</v>
      </c>
      <c r="B13" s="32">
        <f>IF(Input!$L27="","",A13*MIN(2,(101.325/Input!R27)^0.5))</f>
        <v>5.9654045386000938</v>
      </c>
      <c r="C13" s="27">
        <f>IF(Input!$L27="","",IF(Input!$H27&lt;=10,1,1+0.07*(Input!$H27-10)^0.5)*$B13)</f>
        <v>9.8603157921578575</v>
      </c>
      <c r="D13" s="27">
        <f>IF(Input!$L27="","",(Input!$N$11/7.5)^-1.8)</f>
        <v>1.0498545285133156</v>
      </c>
      <c r="E13" s="27" t="str">
        <f>IF(Input!$L27="","",IF(OR(Input!$B27="CL",Input!$B27="SC",Input!$B27="CH",Input!$B27="MH",Input!$K27&gt;7,Input!$L27&lt;=Input!$O$12,$C13&gt;=39),"－",0.08+0.0035*$C13/(1-C13/39)))</f>
        <v>－</v>
      </c>
      <c r="F13" s="27" t="str">
        <f>IF(Input!$L27="","",IF(E13="－","－",E13*D13))</f>
        <v>－</v>
      </c>
      <c r="G13" s="27">
        <f>IF(Input!$L27="","",IF(Input!$O27&lt;=10,1-0.01*Input!$O27,1.2-0.03*Input!$O27))</f>
        <v>0.71174999999999999</v>
      </c>
      <c r="H13" s="27" t="str">
        <f>IF(Input!$L27="","",IF(E13="－","－",0.65*Input!$N$10*Input!$P27/Input!$Q27*G13))</f>
        <v>－</v>
      </c>
      <c r="I13" s="27">
        <f>IF(Input!$L27="","",IF(E13="－",3,MIN(3,F13/H13)))</f>
        <v>3</v>
      </c>
      <c r="J13" s="27">
        <f>IF(Input!$L27="","",10-0.5*Input!$O27)</f>
        <v>1.8625000000000007</v>
      </c>
      <c r="K13" s="27">
        <f>IF(Input!$L27="","",MAX(0,(1-I13))*MAX(0,MIN(Input!$L27-Input!$O$12,Input!$M27))*J13)</f>
        <v>0</v>
      </c>
      <c r="L13" s="27">
        <f>IF(Input!$L27="","",(Input!$M$11/7.5)^-1.8)</f>
        <v>1.1036852700014219</v>
      </c>
      <c r="M13" s="27" t="str">
        <f>IF(Input!$L27="","",IF(E13="－","－",$E13*L13))</f>
        <v>－</v>
      </c>
      <c r="N13" s="27" t="str">
        <f>IF(Input!$L27="","",IF(E13="－","－",0.65*Input!$M$10*Input!$P27/Input!$Q27*G13))</f>
        <v>－</v>
      </c>
      <c r="O13" s="27">
        <f>IF(Input!$L27="","",IF(E13="－",3,MIN(3,M13/N13)))</f>
        <v>3</v>
      </c>
      <c r="P13" s="27">
        <f>IF(Input!$L27="","",MAX(0,(1-O13))*MAX(0,MIN(Input!$L27-Input!$O$12,Input!$M27))*J13)</f>
        <v>0</v>
      </c>
      <c r="Q13" s="27">
        <f>IF(Input!$L27="","",(Input!$O$11/7.5)^-1.8)</f>
        <v>1</v>
      </c>
      <c r="R13" s="27" t="str">
        <f>IF(Input!$L27="","",IF(E13="－","－",$E13*Q13))</f>
        <v>－</v>
      </c>
      <c r="S13" s="27" t="str">
        <f>IF(Input!$L27="","",IF(E13="－","－",0.65*Input!$O$10*Input!$P27/Input!$Q27*$G13))</f>
        <v>－</v>
      </c>
      <c r="T13" s="27">
        <f>IF(Input!$L27="","",IF(E13="－",3,MIN(3,R13/S13)))</f>
        <v>3</v>
      </c>
      <c r="U13" s="27">
        <f>IF(Input!$L27="","",MAX(0,(1-T13))*MAX(0,MIN(Input!$L27-Input!$O$12,Input!$M27))*$J13)</f>
        <v>0</v>
      </c>
    </row>
    <row r="14" spans="1:21">
      <c r="A14" s="51">
        <f>IF(Input!$L28="","",+Input!G28*Input!$O$14/60)</f>
        <v>7.2</v>
      </c>
      <c r="B14" s="32">
        <f>IF(Input!$L28="","",A14*MIN(2,(101.325/Input!R28)^0.5))</f>
        <v>5.7093335651636581</v>
      </c>
      <c r="C14" s="27">
        <f>IF(Input!$L28="","",IF(Input!$H28&lt;=10,1,1+0.07*(Input!$H28-10)^0.5)*$B14)</f>
        <v>9.3939553889515182</v>
      </c>
      <c r="D14" s="27">
        <f>IF(Input!$L28="","",(Input!$N$11/7.5)^-1.8)</f>
        <v>1.0498545285133156</v>
      </c>
      <c r="E14" s="27" t="str">
        <f>IF(Input!$L28="","",IF(OR(Input!$B28="CL",Input!$B28="SC",Input!$B28="CH",Input!$B28="MH",Input!$K28&gt;7,Input!$L28&lt;=Input!$O$12,$C14&gt;=39),"－",0.08+0.0035*$C14/(1-C14/39)))</f>
        <v>－</v>
      </c>
      <c r="F14" s="27" t="str">
        <f>IF(Input!$L28="","",IF(E14="－","－",E14*D14))</f>
        <v>－</v>
      </c>
      <c r="G14" s="27">
        <f>IF(Input!$L28="","",IF(Input!$O28&lt;=10,1-0.01*Input!$O28,1.2-0.03*Input!$O28))</f>
        <v>0.66675000000000006</v>
      </c>
      <c r="H14" s="27" t="str">
        <f>IF(Input!$L28="","",IF(E14="－","－",0.65*Input!$N$10*Input!$P28/Input!$Q28*G14))</f>
        <v>－</v>
      </c>
      <c r="I14" s="27">
        <f>IF(Input!$L28="","",IF(E14="－",3,MIN(3,F14/H14)))</f>
        <v>3</v>
      </c>
      <c r="J14" s="27">
        <f>IF(Input!$L28="","",10-0.5*Input!$O28)</f>
        <v>1.1125000000000007</v>
      </c>
      <c r="K14" s="27">
        <f>IF(Input!$L28="","",MAX(0,(1-I14))*MAX(0,MIN(Input!$L28-Input!$O$12,Input!$M28))*J14)</f>
        <v>0</v>
      </c>
      <c r="L14" s="27">
        <f>IF(Input!$L28="","",(Input!$M$11/7.5)^-1.8)</f>
        <v>1.1036852700014219</v>
      </c>
      <c r="M14" s="27" t="str">
        <f>IF(Input!$L28="","",IF(E14="－","－",$E14*L14))</f>
        <v>－</v>
      </c>
      <c r="N14" s="27" t="str">
        <f>IF(Input!$L28="","",IF(E14="－","－",0.65*Input!$M$10*Input!$P28/Input!$Q28*G14))</f>
        <v>－</v>
      </c>
      <c r="O14" s="27">
        <f>IF(Input!$L28="","",IF(E14="－",3,MIN(3,M14/N14)))</f>
        <v>3</v>
      </c>
      <c r="P14" s="27">
        <f>IF(Input!$L28="","",MAX(0,(1-O14))*MAX(0,MIN(Input!$L28-Input!$O$12,Input!$M28))*J14)</f>
        <v>0</v>
      </c>
      <c r="Q14" s="27">
        <f>IF(Input!$L28="","",(Input!$O$11/7.5)^-1.8)</f>
        <v>1</v>
      </c>
      <c r="R14" s="27" t="str">
        <f>IF(Input!$L28="","",IF(E14="－","－",$E14*Q14))</f>
        <v>－</v>
      </c>
      <c r="S14" s="27" t="str">
        <f>IF(Input!$L28="","",IF(E14="－","－",0.65*Input!$O$10*Input!$P28/Input!$Q28*$G14))</f>
        <v>－</v>
      </c>
      <c r="T14" s="27">
        <f>IF(Input!$L28="","",IF(E14="－",3,MIN(3,R14/S14)))</f>
        <v>3</v>
      </c>
      <c r="U14" s="27">
        <f>IF(Input!$L28="","",MAX(0,(1-T14))*MAX(0,MIN(Input!$L28-Input!$O$12,Input!$M28))*$J14)</f>
        <v>0</v>
      </c>
    </row>
    <row r="15" spans="1:21">
      <c r="A15" s="51">
        <f>IF(Input!$L29="","",+Input!G29*Input!$O$14/60)</f>
        <v>8.4</v>
      </c>
      <c r="B15" s="32">
        <f>IF(Input!$L29="","",A15*MIN(2,(101.325/Input!R29)^0.5))</f>
        <v>6.4036609405146105</v>
      </c>
      <c r="C15" s="27">
        <f>IF(Input!$L29="","",IF(Input!$H29&lt;=10,1,1+0.07*(Input!$H29-10)^0.5)*$B15)</f>
        <v>10.511997478378253</v>
      </c>
      <c r="D15" s="27">
        <f>IF(Input!$L29="","",(Input!$N$11/7.5)^-1.8)</f>
        <v>1.0498545285133156</v>
      </c>
      <c r="E15" s="27" t="str">
        <f>IF(Input!$L29="","",IF(OR(Input!$B29="CL",Input!$B29="SC",Input!$B29="CH",Input!$B29="MH",Input!$K29&gt;7,Input!$L29&lt;=Input!$O$12,$C15&gt;=39),"－",0.08+0.0035*$C15/(1-C15/39)))</f>
        <v>－</v>
      </c>
      <c r="F15" s="27" t="str">
        <f>IF(Input!$L29="","",IF(E15="－","－",E15*D15))</f>
        <v>－</v>
      </c>
      <c r="G15" s="27">
        <f>IF(Input!$L29="","",IF(Input!$O29&lt;=10,1-0.01*Input!$O29,1.2-0.03*Input!$O29))</f>
        <v>0.62212500000000004</v>
      </c>
      <c r="H15" s="27" t="str">
        <f>IF(Input!$L29="","",IF(E15="－","－",0.65*Input!$N$10*Input!$P29/Input!$Q29*G15))</f>
        <v>－</v>
      </c>
      <c r="I15" s="27">
        <f>IF(Input!$L29="","",IF(E15="－",3,MIN(3,F15/H15)))</f>
        <v>3</v>
      </c>
      <c r="J15" s="27">
        <f>IF(Input!$L29="","",10-0.5*Input!$O29)</f>
        <v>0.36875000000000036</v>
      </c>
      <c r="K15" s="27">
        <f>IF(Input!$L29="","",MAX(0,(1-I15))*MAX(0,MIN(Input!$L29-Input!$O$12,Input!$M29))*J15)</f>
        <v>0</v>
      </c>
      <c r="L15" s="27">
        <f>IF(Input!$L29="","",(Input!$M$11/7.5)^-1.8)</f>
        <v>1.1036852700014219</v>
      </c>
      <c r="M15" s="27" t="str">
        <f>IF(Input!$L29="","",IF(E15="－","－",$E15*L15))</f>
        <v>－</v>
      </c>
      <c r="N15" s="27" t="str">
        <f>IF(Input!$L29="","",IF(E15="－","－",0.65*Input!$M$10*Input!$P29/Input!$Q29*G15))</f>
        <v>－</v>
      </c>
      <c r="O15" s="27">
        <f>IF(Input!$L29="","",IF(E15="－",3,MIN(3,M15/N15)))</f>
        <v>3</v>
      </c>
      <c r="P15" s="27">
        <f>IF(Input!$L29="","",MAX(0,(1-O15))*MAX(0,MIN(Input!$L29-Input!$O$12,Input!$M29))*J15)</f>
        <v>0</v>
      </c>
      <c r="Q15" s="27">
        <f>IF(Input!$L29="","",(Input!$O$11/7.5)^-1.8)</f>
        <v>1</v>
      </c>
      <c r="R15" s="27" t="str">
        <f>IF(Input!$L29="","",IF(E15="－","－",$E15*Q15))</f>
        <v>－</v>
      </c>
      <c r="S15" s="27" t="str">
        <f>IF(Input!$L29="","",IF(E15="－","－",0.65*Input!$O$10*Input!$P29/Input!$Q29*$G15))</f>
        <v>－</v>
      </c>
      <c r="T15" s="27">
        <f>IF(Input!$L29="","",IF(E15="－",3,MIN(3,R15/S15)))</f>
        <v>3</v>
      </c>
      <c r="U15" s="27">
        <f>IF(Input!$L29="","",MAX(0,(1-T15))*MAX(0,MIN(Input!$L29-Input!$O$12,Input!$M29))*$J15)</f>
        <v>0</v>
      </c>
    </row>
    <row r="16" spans="1:21" hidden="1">
      <c r="A16" s="51" t="str">
        <f>IF(Input!$L30="","",+Input!G30*Input!$O$14/60)</f>
        <v/>
      </c>
      <c r="B16" s="32" t="str">
        <f>IF(Input!$L30="","",A16*MIN(2,(101.325/Input!R30)^0.5))</f>
        <v/>
      </c>
      <c r="C16" s="27" t="str">
        <f>IF(Input!$L30="","",IF(Input!$H30&lt;=10,1,1+0.07*(Input!$H30-10)^0.5)*$B16)</f>
        <v/>
      </c>
      <c r="D16" s="27" t="str">
        <f>IF(Input!$L30="","",(Input!$N$11/7.5)^-1.8)</f>
        <v/>
      </c>
      <c r="E16" s="27" t="str">
        <f>IF(Input!$L30="","",IF(OR(Input!$B30="CL",Input!$B30="SC",Input!$B30="CH",Input!$B30="MH",Input!$K30&gt;7,Input!$L30&lt;=Input!$O$12,$C16&gt;=39),"－",0.08+0.0035*$C16/(1-C16/39)))</f>
        <v/>
      </c>
      <c r="F16" s="27" t="str">
        <f>IF(Input!$L30="","",IF(E16="－","－",E16*D16))</f>
        <v/>
      </c>
      <c r="G16" s="27" t="str">
        <f>IF(Input!$L30="","",IF(Input!$O30&lt;=10,1-0.01*Input!$O30,1.2-0.03*Input!$O30))</f>
        <v/>
      </c>
      <c r="H16" s="27" t="str">
        <f>IF(Input!$L30="","",IF(E16="－","－",0.65*Input!$N$10*Input!$P30/Input!$Q30*G16))</f>
        <v/>
      </c>
      <c r="I16" s="27" t="str">
        <f>IF(Input!$L30="","",IF(E16="－",3,MIN(3,F16/H16)))</f>
        <v/>
      </c>
      <c r="J16" s="27" t="str">
        <f>IF(Input!$L30="","",10-0.5*Input!$O30)</f>
        <v/>
      </c>
      <c r="K16" s="27" t="str">
        <f>IF(Input!$L30="","",MAX(0,(1-I16))*MAX(0,MIN(Input!$L30-Input!$O$12,Input!$M30))*J16)</f>
        <v/>
      </c>
      <c r="L16" s="27" t="str">
        <f>IF(Input!$L30="","",(Input!$M$11/7.5)^-1.8)</f>
        <v/>
      </c>
      <c r="M16" s="27" t="str">
        <f>IF(Input!$L30="","",IF(E16="－","－",$E16*L16))</f>
        <v/>
      </c>
      <c r="N16" s="27" t="str">
        <f>IF(Input!$L30="","",IF(E16="－","－",0.65*Input!$M$10*Input!$P30/Input!$Q30*G16))</f>
        <v/>
      </c>
      <c r="O16" s="27" t="str">
        <f>IF(Input!$L30="","",IF(E16="－",3,MIN(3,M16/N16)))</f>
        <v/>
      </c>
      <c r="P16" s="27" t="str">
        <f>IF(Input!$L30="","",MAX(0,(1-O16))*MAX(0,MIN(Input!$L30-Input!$O$12,Input!$M30))*J16)</f>
        <v/>
      </c>
      <c r="Q16" s="27" t="str">
        <f>IF(Input!$L30="","",(Input!$O$11/7.5)^-1.8)</f>
        <v/>
      </c>
      <c r="R16" s="27" t="str">
        <f>IF(Input!$L30="","",IF(E16="－","－",$E16*Q16))</f>
        <v/>
      </c>
      <c r="S16" s="27" t="str">
        <f>IF(Input!$L30="","",IF(E16="－","－",0.65*Input!$O$10*Input!$P30/Input!$Q30*$G16))</f>
        <v/>
      </c>
      <c r="T16" s="27" t="str">
        <f>IF(Input!$L30="","",IF(E16="－",3,MIN(3,R16/S16)))</f>
        <v/>
      </c>
      <c r="U16" s="27" t="str">
        <f>IF(Input!$L30="","",MAX(0,(1-T16))*MAX(0,MIN(Input!$L30-Input!$O$12,Input!$M30))*$J16)</f>
        <v/>
      </c>
    </row>
    <row r="17" spans="1:26" hidden="1">
      <c r="A17" s="51" t="str">
        <f>IF(Input!$L31="","",+Input!G31*Input!$O$14/60)</f>
        <v/>
      </c>
      <c r="B17" s="32" t="str">
        <f>IF(Input!$L31="","",A17*MIN(2,(101.325/Input!R31)^0.5))</f>
        <v/>
      </c>
      <c r="C17" s="27" t="str">
        <f>IF(Input!$L31="","",IF(Input!$H31&lt;=10,1,1+0.07*(Input!$H31-10)^0.5)*$B17)</f>
        <v/>
      </c>
      <c r="D17" s="27" t="str">
        <f>IF(Input!$L31="","",(Input!$N$11/7.5)^-1.8)</f>
        <v/>
      </c>
      <c r="E17" s="27" t="str">
        <f>IF(Input!$L31="","",IF(OR(Input!$B31="CL",Input!$B31="SC",Input!$B31="CH",Input!$B31="MH",Input!$K31&gt;7,Input!$L31&lt;=Input!$O$12,$C17&gt;=39),"－",0.08+0.0035*$C17/(1-C17/39)))</f>
        <v/>
      </c>
      <c r="F17" s="27" t="str">
        <f>IF(Input!$L31="","",IF(E17="－","－",E17*D17))</f>
        <v/>
      </c>
      <c r="G17" s="27" t="str">
        <f>IF(Input!$L31="","",IF(Input!$O31&lt;=10,1-0.01*Input!$O31,1.2-0.03*Input!$O31))</f>
        <v/>
      </c>
      <c r="H17" s="27" t="str">
        <f>IF(Input!$L31="","",IF(E17="－","－",0.65*Input!$N$10*Input!$P31/Input!$Q31*G17))</f>
        <v/>
      </c>
      <c r="I17" s="27" t="str">
        <f>IF(Input!$L31="","",IF(E17="－",3,MIN(3,F17/H17)))</f>
        <v/>
      </c>
      <c r="J17" s="27" t="str">
        <f>IF(Input!$L31="","",10-0.5*Input!$O31)</f>
        <v/>
      </c>
      <c r="K17" s="27" t="str">
        <f>IF(Input!$L31="","",MAX(0,(1-I17))*MAX(0,MIN(Input!$L31-Input!$O$12,Input!$M31))*J17)</f>
        <v/>
      </c>
      <c r="L17" s="27" t="str">
        <f>IF(Input!$L31="","",(Input!$M$11/7.5)^-1.8)</f>
        <v/>
      </c>
      <c r="M17" s="27" t="str">
        <f>IF(Input!$L31="","",IF(E17="－","－",$E17*L17))</f>
        <v/>
      </c>
      <c r="N17" s="27" t="str">
        <f>IF(Input!$L31="","",IF(E17="－","－",0.65*Input!$M$10*Input!$P31/Input!$Q31*G17))</f>
        <v/>
      </c>
      <c r="O17" s="27" t="str">
        <f>IF(Input!$L31="","",IF(E17="－",3,MIN(3,M17/N17)))</f>
        <v/>
      </c>
      <c r="P17" s="27" t="str">
        <f>IF(Input!$L31="","",MAX(0,(1-O17))*MAX(0,MIN(Input!$L31-Input!$O$12,Input!$M31))*J17)</f>
        <v/>
      </c>
      <c r="Q17" s="27" t="str">
        <f>IF(Input!$L31="","",(Input!$O$11/7.5)^-1.8)</f>
        <v/>
      </c>
      <c r="R17" s="27" t="str">
        <f>IF(Input!$L31="","",IF(E17="－","－",$E17*Q17))</f>
        <v/>
      </c>
      <c r="S17" s="27" t="str">
        <f>IF(Input!$L31="","",IF(E17="－","－",0.65*Input!$O$10*Input!$P31/Input!$Q31*$G17))</f>
        <v/>
      </c>
      <c r="T17" s="27" t="str">
        <f>IF(Input!$L31="","",IF(E17="－",3,MIN(3,R17/S17)))</f>
        <v/>
      </c>
      <c r="U17" s="27" t="str">
        <f>IF(Input!$L31="","",MAX(0,(1-T17))*MAX(0,MIN(Input!$L31-Input!$O$12,Input!$M31))*$J17)</f>
        <v/>
      </c>
    </row>
    <row r="18" spans="1:26" hidden="1">
      <c r="A18" s="51" t="str">
        <f>IF(Input!$L32="","",+Input!G32*Input!$O$14/60)</f>
        <v/>
      </c>
      <c r="B18" s="32" t="str">
        <f>IF(Input!$L32="","",A18*MIN(2,(101.325/Input!R32)^0.5))</f>
        <v/>
      </c>
      <c r="C18" s="27" t="str">
        <f>IF(Input!$L32="","",IF(Input!$H32&lt;=10,1,1+0.07*(Input!$H32-10)^0.5)*$B18)</f>
        <v/>
      </c>
      <c r="D18" s="27" t="str">
        <f>IF(Input!$L32="","",(Input!$N$11/7.5)^-1.8)</f>
        <v/>
      </c>
      <c r="E18" s="27" t="str">
        <f>IF(Input!$L32="","",IF(OR(Input!$B32="CL",Input!$B32="SC",Input!$B32="CH",Input!$B32="MH",Input!$K32&gt;7,Input!$L32&lt;=Input!$O$12,$C18&gt;=39),"－",0.08+0.0035*$C18/(1-C18/39)))</f>
        <v/>
      </c>
      <c r="F18" s="27" t="str">
        <f>IF(Input!$L32="","",IF(E18="－","－",E18*D18))</f>
        <v/>
      </c>
      <c r="G18" s="27" t="str">
        <f>IF(Input!$L32="","",IF(Input!$O32&lt;=10,1-0.01*Input!$O32,1.2-0.03*Input!$O32))</f>
        <v/>
      </c>
      <c r="H18" s="27" t="str">
        <f>IF(Input!$L32="","",IF(E18="－","－",0.65*Input!$N$10*Input!$P32/Input!$Q32*G18))</f>
        <v/>
      </c>
      <c r="I18" s="27" t="str">
        <f>IF(Input!$L32="","",IF(E18="－",3,MIN(3,F18/H18)))</f>
        <v/>
      </c>
      <c r="J18" s="27" t="str">
        <f>IF(Input!$L32="","",10-0.5*Input!$O32)</f>
        <v/>
      </c>
      <c r="K18" s="27" t="str">
        <f>IF(Input!$L32="","",MAX(0,(1-I18))*MAX(0,MIN(Input!$L32-Input!$O$12,Input!$M32))*J18)</f>
        <v/>
      </c>
      <c r="L18" s="27" t="str">
        <f>IF(Input!$L32="","",(Input!$M$11/7.5)^-1.8)</f>
        <v/>
      </c>
      <c r="M18" s="27" t="str">
        <f>IF(Input!$L32="","",IF(E18="－","－",$E18*L18))</f>
        <v/>
      </c>
      <c r="N18" s="27" t="str">
        <f>IF(Input!$L32="","",IF(E18="－","－",0.65*Input!$M$10*Input!$P32/Input!$Q32*G18))</f>
        <v/>
      </c>
      <c r="O18" s="27" t="str">
        <f>IF(Input!$L32="","",IF(E18="－",3,MIN(3,M18/N18)))</f>
        <v/>
      </c>
      <c r="P18" s="27" t="str">
        <f>IF(Input!$L32="","",MAX(0,(1-O18))*MAX(0,MIN(Input!$L32-Input!$O$12,Input!$M32))*J18)</f>
        <v/>
      </c>
      <c r="Q18" s="27" t="str">
        <f>IF(Input!$L32="","",(Input!$O$11/7.5)^-1.8)</f>
        <v/>
      </c>
      <c r="R18" s="27" t="str">
        <f>IF(Input!$L32="","",IF(E18="－","－",$E18*Q18))</f>
        <v/>
      </c>
      <c r="S18" s="27" t="str">
        <f>IF(Input!$L32="","",IF(E18="－","－",0.65*Input!$O$10*Input!$P32/Input!$Q32*$G18))</f>
        <v/>
      </c>
      <c r="T18" s="27" t="str">
        <f>IF(Input!$L32="","",IF(E18="－",3,MIN(3,R18/S18)))</f>
        <v/>
      </c>
      <c r="U18" s="27" t="str">
        <f>IF(Input!$L32="","",MAX(0,(1-T18))*MAX(0,MIN(Input!$L32-Input!$O$12,Input!$M32))*$J18)</f>
        <v/>
      </c>
    </row>
    <row r="19" spans="1:26" hidden="1">
      <c r="A19" s="51" t="str">
        <f>IF(Input!$L33="","",+Input!G33*Input!$O$14/60)</f>
        <v/>
      </c>
      <c r="B19" s="32" t="str">
        <f>IF(Input!$L33="","",A19*MIN(2,(101.325/Input!R33)^0.5))</f>
        <v/>
      </c>
      <c r="C19" s="27" t="str">
        <f>IF(Input!$L33="","",IF(Input!$H33&lt;=10,1,1+0.07*(Input!$H33-10)^0.5)*$B19)</f>
        <v/>
      </c>
      <c r="D19" s="27" t="str">
        <f>IF(Input!$L33="","",(Input!$N$11/7.5)^-1.8)</f>
        <v/>
      </c>
      <c r="E19" s="27" t="str">
        <f>IF(Input!$L33="","",IF(OR(Input!$B33="CL",Input!$B33="SC",Input!$B33="CH",Input!$B33="MH",Input!$K33&gt;7,Input!$L33&lt;=Input!$O$12,$C19&gt;=39),"－",0.08+0.0035*$C19/(1-C19/39)))</f>
        <v/>
      </c>
      <c r="F19" s="27" t="str">
        <f>IF(Input!$L33="","",IF(E19="－","－",E19*D19))</f>
        <v/>
      </c>
      <c r="G19" s="27" t="str">
        <f>IF(Input!$L33="","",IF(Input!$O33&lt;=10,1-0.01*Input!$O33,1.2-0.03*Input!$O33))</f>
        <v/>
      </c>
      <c r="H19" s="27" t="str">
        <f>IF(Input!$L33="","",IF(E19="－","－",0.65*Input!$N$10*Input!$P33/Input!$Q33*G19))</f>
        <v/>
      </c>
      <c r="I19" s="27" t="str">
        <f>IF(Input!$L33="","",IF(E19="－",3,MIN(3,F19/H19)))</f>
        <v/>
      </c>
      <c r="J19" s="27" t="str">
        <f>IF(Input!$L33="","",10-0.5*Input!$O33)</f>
        <v/>
      </c>
      <c r="K19" s="27" t="str">
        <f>IF(Input!$L33="","",MAX(0,(1-I19))*MAX(0,MIN(Input!$L33-Input!$O$12,Input!$M33))*J19)</f>
        <v/>
      </c>
      <c r="L19" s="27" t="str">
        <f>IF(Input!$L33="","",(Input!$M$11/7.5)^-1.8)</f>
        <v/>
      </c>
      <c r="M19" s="27" t="str">
        <f>IF(Input!$L33="","",IF(E19="－","－",$E19*L19))</f>
        <v/>
      </c>
      <c r="N19" s="27" t="str">
        <f>IF(Input!$L33="","",IF(E19="－","－",0.65*Input!$M$10*Input!$P33/Input!$Q33*G19))</f>
        <v/>
      </c>
      <c r="O19" s="27" t="str">
        <f>IF(Input!$L33="","",IF(E19="－",3,MIN(3,M19/N19)))</f>
        <v/>
      </c>
      <c r="P19" s="27" t="str">
        <f>IF(Input!$L33="","",MAX(0,(1-O19))*MAX(0,MIN(Input!$L33-Input!$O$12,Input!$M33))*J19)</f>
        <v/>
      </c>
      <c r="Q19" s="27" t="str">
        <f>IF(Input!$L33="","",(Input!$O$11/7.5)^-1.8)</f>
        <v/>
      </c>
      <c r="R19" s="27" t="str">
        <f>IF(Input!$L33="","",IF(E19="－","－",$E19*Q19))</f>
        <v/>
      </c>
      <c r="S19" s="27" t="str">
        <f>IF(Input!$L33="","",IF(E19="－","－",0.65*Input!$O$10*Input!$P33/Input!$Q33*$G19))</f>
        <v/>
      </c>
      <c r="T19" s="27" t="str">
        <f>IF(Input!$L33="","",IF(E19="－",3,MIN(3,R19/S19)))</f>
        <v/>
      </c>
      <c r="U19" s="27" t="str">
        <f>IF(Input!$L33="","",MAX(0,(1-T19))*MAX(0,MIN(Input!$L33-Input!$O$12,Input!$M33))*$J19)</f>
        <v/>
      </c>
    </row>
    <row r="20" spans="1:26" hidden="1">
      <c r="A20" s="51" t="str">
        <f>IF(Input!$L34="","",+Input!G34*Input!$O$14/60)</f>
        <v/>
      </c>
      <c r="B20" s="32" t="str">
        <f>IF(Input!$L34="","",A20*MIN(2,(101.325/Input!R34)^0.5))</f>
        <v/>
      </c>
      <c r="C20" s="27" t="str">
        <f>IF(Input!$L34="","",IF(Input!$H34&lt;=10,1,1+0.07*(Input!$H34-10)^0.5)*$B20)</f>
        <v/>
      </c>
      <c r="D20" s="27" t="str">
        <f>IF(Input!$L34="","",(Input!$N$11/7.5)^-1.8)</f>
        <v/>
      </c>
      <c r="E20" s="27" t="str">
        <f>IF(Input!$L34="","",IF(OR(Input!$B34="CL",Input!$B34="SC",Input!$B34="CH",Input!$B34="MH",Input!$K34&gt;7,Input!$L34&lt;=Input!$O$12,$C20&gt;=39),"－",0.08+0.0035*$C20/(1-C20/39)))</f>
        <v/>
      </c>
      <c r="F20" s="27" t="str">
        <f>IF(Input!$L34="","",IF(E20="－","－",E20*D20))</f>
        <v/>
      </c>
      <c r="G20" s="27" t="str">
        <f>IF(Input!$L34="","",IF(Input!$O34&lt;=10,1-0.01*Input!$O34,1.2-0.03*Input!$O34))</f>
        <v/>
      </c>
      <c r="H20" s="27" t="str">
        <f>IF(Input!$L34="","",IF(E20="－","－",0.65*Input!$N$10*Input!$P34/Input!$Q34*G20))</f>
        <v/>
      </c>
      <c r="I20" s="27" t="str">
        <f>IF(Input!$L34="","",IF(E20="－",3,MIN(3,F20/H20)))</f>
        <v/>
      </c>
      <c r="J20" s="27" t="str">
        <f>IF(Input!$L34="","",10-0.5*Input!$O34)</f>
        <v/>
      </c>
      <c r="K20" s="27" t="str">
        <f>IF(Input!$L34="","",MAX(0,(1-I20))*MAX(0,MIN(Input!$L34-Input!$O$12,Input!$M34))*J20)</f>
        <v/>
      </c>
      <c r="L20" s="27" t="str">
        <f>IF(Input!$L34="","",(Input!$M$11/7.5)^-1.8)</f>
        <v/>
      </c>
      <c r="M20" s="27" t="str">
        <f>IF(Input!$L34="","",IF(E20="－","－",$E20*L20))</f>
        <v/>
      </c>
      <c r="N20" s="27" t="str">
        <f>IF(Input!$L34="","",IF(E20="－","－",0.65*Input!$M$10*Input!$P34/Input!$Q34*G20))</f>
        <v/>
      </c>
      <c r="O20" s="27" t="str">
        <f>IF(Input!$L34="","",IF(E20="－",3,MIN(3,M20/N20)))</f>
        <v/>
      </c>
      <c r="P20" s="27" t="str">
        <f>IF(Input!$L34="","",MAX(0,(1-O20))*MAX(0,MIN(Input!$L34-Input!$O$12,Input!$M34))*J20)</f>
        <v/>
      </c>
      <c r="Q20" s="27" t="str">
        <f>IF(Input!$L34="","",(Input!$O$11/7.5)^-1.8)</f>
        <v/>
      </c>
      <c r="R20" s="27" t="str">
        <f>IF(Input!$L34="","",IF(E20="－","－",$E20*Q20))</f>
        <v/>
      </c>
      <c r="S20" s="27" t="str">
        <f>IF(Input!$L34="","",IF(E20="－","－",0.65*Input!$O$10*Input!$P34/Input!$Q34*$G20))</f>
        <v/>
      </c>
      <c r="T20" s="27" t="str">
        <f>IF(Input!$L34="","",IF(E20="－",3,MIN(3,R20/S20)))</f>
        <v/>
      </c>
      <c r="U20" s="27" t="str">
        <f>IF(Input!$L34="","",MAX(0,(1-T20))*MAX(0,MIN(Input!$L34-Input!$O$12,Input!$M34))*$J20)</f>
        <v/>
      </c>
    </row>
    <row r="21" spans="1:26" hidden="1">
      <c r="A21" s="51" t="str">
        <f>IF(Input!$L35="","",+Input!G35*Input!$O$14/60)</f>
        <v/>
      </c>
      <c r="B21" s="32" t="str">
        <f>IF(Input!$L35="","",A21*MIN(2,(101.325/Input!R35)^0.5))</f>
        <v/>
      </c>
      <c r="C21" s="27" t="str">
        <f>IF(Input!$L35="","",IF(Input!$H35&lt;=10,1,1+0.07*(Input!$H35-10)^0.5)*$B21)</f>
        <v/>
      </c>
      <c r="D21" s="27" t="str">
        <f>IF(Input!$L35="","",(Input!$N$11/7.5)^-1.8)</f>
        <v/>
      </c>
      <c r="E21" s="27" t="str">
        <f>IF(Input!$L35="","",IF(OR(Input!$B35="CL",Input!$B35="SC",Input!$B35="CH",Input!$B35="MH",Input!$K35&gt;7,Input!$L35&lt;=Input!$O$12,$C21&gt;=39),"－",0.08+0.0035*$C21/(1-C21/39)))</f>
        <v/>
      </c>
      <c r="F21" s="27" t="str">
        <f>IF(Input!$L35="","",IF(E21="－","－",E21*D21))</f>
        <v/>
      </c>
      <c r="G21" s="27" t="str">
        <f>IF(Input!$L35="","",IF(Input!$O35&lt;=10,1-0.01*Input!$O35,1.2-0.03*Input!$O35))</f>
        <v/>
      </c>
      <c r="H21" s="27" t="str">
        <f>IF(Input!$L35="","",IF(E21="－","－",0.65*Input!$N$10*Input!$P35/Input!$Q35*G21))</f>
        <v/>
      </c>
      <c r="I21" s="27" t="str">
        <f>IF(Input!$L35="","",IF(E21="－",3,MIN(3,F21/H21)))</f>
        <v/>
      </c>
      <c r="J21" s="27" t="str">
        <f>IF(Input!$L35="","",10-0.5*Input!$O35)</f>
        <v/>
      </c>
      <c r="K21" s="27" t="str">
        <f>IF(Input!$L35="","",MAX(0,(1-I21))*MAX(0,MIN(Input!$L35-Input!$O$12,Input!$M35))*J21)</f>
        <v/>
      </c>
      <c r="L21" s="27" t="str">
        <f>IF(Input!$L35="","",(Input!$M$11/7.5)^-1.8)</f>
        <v/>
      </c>
      <c r="M21" s="27" t="str">
        <f>IF(Input!$L35="","",IF(E21="－","－",$E21*L21))</f>
        <v/>
      </c>
      <c r="N21" s="27" t="str">
        <f>IF(Input!$L35="","",IF(E21="－","－",0.65*Input!$M$10*Input!$P35/Input!$Q35*G21))</f>
        <v/>
      </c>
      <c r="O21" s="27" t="str">
        <f>IF(Input!$L35="","",IF(E21="－",3,MIN(3,M21/N21)))</f>
        <v/>
      </c>
      <c r="P21" s="27" t="str">
        <f>IF(Input!$L35="","",MAX(0,(1-O21))*MAX(0,MIN(Input!$L35-Input!$O$12,Input!$M35))*J21)</f>
        <v/>
      </c>
      <c r="Q21" s="27" t="str">
        <f>IF(Input!$L35="","",(Input!$O$11/7.5)^-1.8)</f>
        <v/>
      </c>
      <c r="R21" s="27" t="str">
        <f>IF(Input!$L35="","",IF(E21="－","－",$E21*Q21))</f>
        <v/>
      </c>
      <c r="S21" s="27" t="str">
        <f>IF(Input!$L35="","",IF(E21="－","－",0.65*Input!$O$10*Input!$P35/Input!$Q35*$G21))</f>
        <v/>
      </c>
      <c r="T21" s="27" t="str">
        <f>IF(Input!$L35="","",IF(E21="－",3,MIN(3,R21/S21)))</f>
        <v/>
      </c>
      <c r="U21" s="27" t="str">
        <f>IF(Input!$L35="","",MAX(0,(1-T21))*MAX(0,MIN(Input!$L35-Input!$O$12,Input!$M35))*$J21)</f>
        <v/>
      </c>
    </row>
    <row r="22" spans="1:26" hidden="1">
      <c r="A22" s="51" t="str">
        <f>IF(Input!$L36="","",+Input!G36*Input!$O$14/60)</f>
        <v/>
      </c>
      <c r="B22" s="32" t="str">
        <f>IF(Input!$L36="","",A22*MIN(2,(101.325/Input!R36)^0.5))</f>
        <v/>
      </c>
      <c r="C22" s="27" t="str">
        <f>IF(Input!$L36="","",IF(Input!$H36&lt;=10,1,1+0.07*(Input!$H36-10)^0.5)*$B22)</f>
        <v/>
      </c>
      <c r="D22" s="27" t="str">
        <f>IF(Input!$L36="","",(Input!$N$11/7.5)^-1.8)</f>
        <v/>
      </c>
      <c r="E22" s="27" t="str">
        <f>IF(Input!$L36="","",IF(OR(Input!$B36="CL",Input!$B36="SC",Input!$B36="CH",Input!$B36="MH",Input!$K36&gt;7,Input!$L36&lt;=Input!$O$12,$C22&gt;=39),"－",0.08+0.0035*$C22/(1-C22/39)))</f>
        <v/>
      </c>
      <c r="F22" s="27" t="str">
        <f>IF(Input!$L36="","",IF(E22="－","－",E22*D22))</f>
        <v/>
      </c>
      <c r="G22" s="27" t="str">
        <f>IF(Input!$L36="","",IF(Input!$O36&lt;=10,1-0.01*Input!$O36,1.2-0.03*Input!$O36))</f>
        <v/>
      </c>
      <c r="H22" s="27" t="str">
        <f>IF(Input!$L36="","",IF(E22="－","－",0.65*Input!$N$10*Input!$P36/Input!$Q36*G22))</f>
        <v/>
      </c>
      <c r="I22" s="27" t="str">
        <f>IF(Input!$L36="","",IF(E22="－",3,MIN(3,F22/H22)))</f>
        <v/>
      </c>
      <c r="J22" s="27" t="str">
        <f>IF(Input!$L36="","",10-0.5*Input!$O36)</f>
        <v/>
      </c>
      <c r="K22" s="27" t="str">
        <f>IF(Input!$L36="","",MAX(0,(1-I22))*MAX(0,MIN(Input!$L36-Input!$O$12,Input!$M36))*J22)</f>
        <v/>
      </c>
      <c r="L22" s="27" t="str">
        <f>IF(Input!$L36="","",(Input!$M$11/7.5)^-1.8)</f>
        <v/>
      </c>
      <c r="M22" s="27" t="str">
        <f>IF(Input!$L36="","",IF(E22="－","－",$E22*L22))</f>
        <v/>
      </c>
      <c r="N22" s="27" t="str">
        <f>IF(Input!$L36="","",IF(E22="－","－",0.65*Input!$M$10*Input!$P36/Input!$Q36*G22))</f>
        <v/>
      </c>
      <c r="O22" s="27" t="str">
        <f>IF(Input!$L36="","",IF(E22="－",3,MIN(3,M22/N22)))</f>
        <v/>
      </c>
      <c r="P22" s="27" t="str">
        <f>IF(Input!$L36="","",MAX(0,(1-O22))*MAX(0,MIN(Input!$L36-Input!$O$12,Input!$M36))*J22)</f>
        <v/>
      </c>
      <c r="Q22" s="27" t="str">
        <f>IF(Input!$L36="","",(Input!$O$11/7.5)^-1.8)</f>
        <v/>
      </c>
      <c r="R22" s="27" t="str">
        <f>IF(Input!$L36="","",IF(E22="－","－",$E22*Q22))</f>
        <v/>
      </c>
      <c r="S22" s="27" t="str">
        <f>IF(Input!$L36="","",IF(E22="－","－",0.65*Input!$O$10*Input!$P36/Input!$Q36*$G22))</f>
        <v/>
      </c>
      <c r="T22" s="27" t="str">
        <f>IF(Input!$L36="","",IF(E22="－",3,MIN(3,R22/S22)))</f>
        <v/>
      </c>
      <c r="U22" s="27" t="str">
        <f>IF(Input!$L36="","",MAX(0,(1-T22))*MAX(0,MIN(Input!$L36-Input!$O$12,Input!$M36))*$J22)</f>
        <v/>
      </c>
    </row>
    <row r="23" spans="1:26">
      <c r="J23" s="45"/>
      <c r="L23" s="45"/>
      <c r="R23" s="45"/>
      <c r="Z23" s="45"/>
    </row>
    <row r="24" spans="1:26" s="38" customFormat="1" ht="16.2">
      <c r="A24" s="134" t="s">
        <v>82</v>
      </c>
      <c r="B24" s="135"/>
      <c r="C24" s="135"/>
      <c r="D24" s="135"/>
      <c r="E24" s="135"/>
      <c r="F24" s="135"/>
    </row>
    <row r="25" spans="1:26" s="38" customFormat="1" ht="18.600000000000001">
      <c r="A25" s="43" t="s">
        <v>62</v>
      </c>
      <c r="B25" s="97"/>
      <c r="C25" s="97"/>
      <c r="D25" s="97"/>
      <c r="E25" s="97"/>
      <c r="N25" s="49" t="s">
        <v>83</v>
      </c>
    </row>
    <row r="26" spans="1:26" s="38" customFormat="1" ht="16.2">
      <c r="A26" s="43" t="s">
        <v>60</v>
      </c>
      <c r="B26" s="97"/>
      <c r="C26" s="97"/>
      <c r="D26" s="97"/>
      <c r="E26" s="97"/>
    </row>
    <row r="27" spans="1:26" s="38" customFormat="1" ht="18">
      <c r="A27" s="43" t="s">
        <v>61</v>
      </c>
      <c r="B27" s="97"/>
      <c r="C27" s="97"/>
      <c r="D27" s="97"/>
      <c r="E27" s="97"/>
      <c r="N27" s="43" t="s">
        <v>44</v>
      </c>
      <c r="Q27" s="39"/>
      <c r="T27" s="39"/>
      <c r="U27" s="39"/>
      <c r="V27" s="39"/>
      <c r="W27" s="39"/>
    </row>
    <row r="28" spans="1:26" s="38" customFormat="1" ht="18">
      <c r="B28" s="97"/>
      <c r="C28" s="97"/>
      <c r="D28" s="97"/>
      <c r="E28" s="97"/>
      <c r="N28" s="39" t="s">
        <v>73</v>
      </c>
    </row>
    <row r="29" spans="1:26" s="38" customFormat="1" ht="18">
      <c r="A29" s="43" t="s">
        <v>70</v>
      </c>
      <c r="B29" s="97"/>
      <c r="C29" s="97"/>
      <c r="D29" s="97"/>
      <c r="E29" s="97"/>
      <c r="N29" s="39"/>
    </row>
    <row r="30" spans="1:26" s="38" customFormat="1" ht="18.600000000000001">
      <c r="A30" s="43" t="s">
        <v>118</v>
      </c>
      <c r="B30" s="97"/>
      <c r="C30" s="97"/>
      <c r="D30" s="97"/>
      <c r="E30" s="97"/>
      <c r="N30" s="39" t="s">
        <v>43</v>
      </c>
    </row>
    <row r="31" spans="1:26" s="38" customFormat="1" ht="18">
      <c r="A31" s="60"/>
      <c r="B31" s="97"/>
      <c r="C31" s="97"/>
      <c r="D31" s="97"/>
      <c r="E31" s="97"/>
      <c r="N31" s="39" t="s">
        <v>39</v>
      </c>
      <c r="T31" s="39" t="s">
        <v>40</v>
      </c>
    </row>
    <row r="32" spans="1:26" s="38" customFormat="1" ht="18.75" customHeight="1">
      <c r="A32" s="43" t="s">
        <v>31</v>
      </c>
      <c r="B32" s="43"/>
      <c r="C32" s="43"/>
      <c r="D32" s="43"/>
      <c r="E32" s="43"/>
      <c r="N32" s="39" t="s">
        <v>76</v>
      </c>
      <c r="T32" s="39" t="s">
        <v>59</v>
      </c>
    </row>
    <row r="33" spans="1:14" s="38" customFormat="1" ht="16.2">
      <c r="A33" s="50" t="s">
        <v>32</v>
      </c>
      <c r="B33" s="43"/>
      <c r="C33" s="43"/>
      <c r="D33" s="43"/>
      <c r="E33" s="43"/>
      <c r="G33" s="39" t="s">
        <v>33</v>
      </c>
      <c r="N33" s="48" t="s">
        <v>30</v>
      </c>
    </row>
    <row r="34" spans="1:14" s="38" customFormat="1" ht="18">
      <c r="A34" s="39" t="s">
        <v>34</v>
      </c>
      <c r="G34" s="39" t="s">
        <v>35</v>
      </c>
      <c r="N34" s="39" t="s">
        <v>73</v>
      </c>
    </row>
    <row r="35" spans="1:14" s="38" customFormat="1">
      <c r="A35" s="39"/>
      <c r="G35" s="39"/>
    </row>
    <row r="36" spans="1:14" s="38" customFormat="1" ht="18">
      <c r="A36" s="43" t="s">
        <v>77</v>
      </c>
      <c r="G36" s="39"/>
      <c r="N36" s="39" t="s">
        <v>45</v>
      </c>
    </row>
    <row r="37" spans="1:14" s="38" customFormat="1" ht="16.5" customHeight="1">
      <c r="A37" s="39" t="s">
        <v>36</v>
      </c>
    </row>
    <row r="38" spans="1:14" s="38" customFormat="1" ht="15.75" customHeight="1">
      <c r="A38" s="39" t="s">
        <v>37</v>
      </c>
      <c r="N38" s="39" t="s">
        <v>42</v>
      </c>
    </row>
    <row r="39" spans="1:14" s="38" customFormat="1" ht="18">
      <c r="A39" s="39" t="s">
        <v>38</v>
      </c>
      <c r="N39" s="39"/>
    </row>
    <row r="40" spans="1:14" s="38" customFormat="1" ht="18">
      <c r="A40" s="39" t="s">
        <v>73</v>
      </c>
      <c r="N40" s="39" t="s">
        <v>29</v>
      </c>
    </row>
    <row r="41" spans="1:14" s="38" customFormat="1"/>
    <row r="42" spans="1:14" s="38" customFormat="1"/>
    <row r="43" spans="1:14" s="38" customFormat="1">
      <c r="B43" s="39"/>
    </row>
    <row r="44" spans="1:14" s="38" customFormat="1"/>
    <row r="45" spans="1:14" s="38" customFormat="1">
      <c r="B45" s="39"/>
      <c r="E45" s="39"/>
      <c r="H45" s="39"/>
      <c r="I45" s="39"/>
      <c r="J45" s="39"/>
      <c r="K45" s="39"/>
    </row>
    <row r="46" spans="1:14" s="38" customFormat="1" ht="18.75" customHeight="1"/>
    <row r="47" spans="1:14" s="38" customFormat="1"/>
    <row r="48" spans="1:14" s="38" customFormat="1"/>
    <row r="49" spans="17:29" s="38" customFormat="1"/>
    <row r="50" spans="17:29" s="38" customFormat="1"/>
    <row r="51" spans="17:29" s="38" customFormat="1"/>
    <row r="52" spans="17:29" s="38" customFormat="1" ht="15.75" customHeight="1">
      <c r="R52" s="41"/>
      <c r="S52" s="41"/>
    </row>
    <row r="53" spans="17:29" s="38" customFormat="1" ht="16.5" customHeight="1">
      <c r="R53" s="41"/>
      <c r="S53" s="41"/>
    </row>
    <row r="54" spans="17:29" s="38" customFormat="1" ht="15.75" customHeight="1">
      <c r="R54" s="41"/>
      <c r="S54" s="41"/>
    </row>
    <row r="55" spans="17:29" s="38" customFormat="1">
      <c r="R55" s="41"/>
      <c r="S55" s="41"/>
    </row>
    <row r="56" spans="17:29" s="38" customFormat="1">
      <c r="Q56" s="39"/>
      <c r="AB56" s="41"/>
      <c r="AC56" s="41"/>
    </row>
    <row r="57" spans="17:29" s="38" customFormat="1">
      <c r="AB57" s="41"/>
      <c r="AC57" s="41"/>
    </row>
    <row r="58" spans="17:29" s="38" customFormat="1">
      <c r="Q58" s="41"/>
      <c r="R58" s="41"/>
      <c r="S58" s="41"/>
      <c r="T58" s="41"/>
      <c r="U58" s="41"/>
      <c r="V58" s="41"/>
      <c r="W58" s="41"/>
      <c r="X58" s="41"/>
      <c r="Y58" s="41"/>
      <c r="Z58" s="41"/>
      <c r="AA58" s="41"/>
      <c r="AB58" s="41"/>
      <c r="AC58" s="41"/>
    </row>
    <row r="59" spans="17:29" s="38" customFormat="1">
      <c r="Q59" s="41"/>
      <c r="R59" s="41"/>
      <c r="S59" s="41"/>
      <c r="T59" s="41"/>
      <c r="U59" s="41"/>
      <c r="V59" s="41"/>
      <c r="W59" s="41"/>
      <c r="X59" s="41"/>
      <c r="Y59" s="41"/>
      <c r="Z59" s="41"/>
      <c r="AA59" s="41"/>
      <c r="AB59" s="41"/>
      <c r="AC59" s="41"/>
    </row>
    <row r="60" spans="17:29" s="38" customFormat="1" ht="15.75" customHeight="1">
      <c r="Q60" s="41"/>
      <c r="R60" s="41"/>
      <c r="S60" s="41"/>
      <c r="T60" s="41"/>
      <c r="U60" s="41"/>
      <c r="V60" s="41"/>
      <c r="W60" s="41"/>
      <c r="X60" s="41"/>
      <c r="Y60" s="41"/>
      <c r="Z60" s="41"/>
      <c r="AA60" s="41"/>
      <c r="AB60" s="41"/>
      <c r="AC60" s="41"/>
    </row>
    <row r="61" spans="17:29" s="38" customFormat="1" ht="15.75" customHeight="1">
      <c r="Q61" s="41"/>
      <c r="R61" s="41"/>
      <c r="S61" s="41"/>
      <c r="T61" s="41"/>
      <c r="U61" s="41"/>
      <c r="V61" s="41"/>
      <c r="W61" s="41"/>
      <c r="X61" s="41"/>
      <c r="Y61" s="41"/>
      <c r="Z61" s="41"/>
      <c r="AA61" s="41"/>
      <c r="AB61" s="41"/>
      <c r="AC61" s="41"/>
    </row>
    <row r="62" spans="17:29" s="38" customFormat="1">
      <c r="Q62" s="41"/>
      <c r="R62" s="41"/>
      <c r="S62" s="41"/>
      <c r="T62" s="41"/>
      <c r="U62" s="41"/>
      <c r="V62" s="41"/>
      <c r="W62" s="41"/>
      <c r="X62" s="41"/>
      <c r="Y62" s="41"/>
      <c r="Z62" s="41"/>
      <c r="AA62" s="41"/>
      <c r="AB62" s="41"/>
      <c r="AC62" s="41"/>
    </row>
    <row r="63" spans="17:29" s="38" customFormat="1">
      <c r="Q63" s="41"/>
      <c r="R63" s="41"/>
      <c r="S63" s="41"/>
      <c r="T63" s="41"/>
      <c r="U63" s="41"/>
      <c r="V63" s="41"/>
      <c r="W63" s="41"/>
      <c r="X63" s="41"/>
      <c r="Y63" s="41"/>
      <c r="Z63" s="41"/>
      <c r="AA63" s="41"/>
      <c r="AB63" s="41"/>
      <c r="AC63" s="41"/>
    </row>
    <row r="64" spans="17:29" s="38" customFormat="1">
      <c r="Q64" s="41"/>
      <c r="R64" s="41"/>
      <c r="S64" s="41"/>
      <c r="T64" s="41"/>
      <c r="U64" s="41"/>
      <c r="V64" s="41"/>
      <c r="W64" s="41"/>
      <c r="X64" s="41"/>
      <c r="Y64" s="41"/>
      <c r="Z64" s="41"/>
      <c r="AA64" s="41"/>
      <c r="AB64" s="41"/>
      <c r="AC64" s="41"/>
    </row>
    <row r="65" spans="2:14">
      <c r="B65" s="38"/>
      <c r="C65" s="38"/>
      <c r="D65" s="38"/>
      <c r="E65" s="38"/>
      <c r="F65" s="38"/>
      <c r="G65" s="38"/>
      <c r="H65" s="38"/>
      <c r="I65" s="38"/>
      <c r="J65" s="38"/>
      <c r="K65" s="38"/>
      <c r="L65" s="38"/>
      <c r="M65" s="38"/>
      <c r="N65" s="38"/>
    </row>
    <row r="66" spans="2:14">
      <c r="B66" s="38"/>
      <c r="C66" s="38"/>
      <c r="D66" s="38"/>
      <c r="E66" s="38"/>
      <c r="F66" s="38"/>
      <c r="G66" s="38"/>
      <c r="H66" s="38"/>
      <c r="I66" s="38"/>
      <c r="J66" s="38"/>
      <c r="K66" s="38"/>
      <c r="L66" s="38"/>
      <c r="M66" s="38"/>
      <c r="N66" s="38"/>
    </row>
    <row r="67" spans="2:14">
      <c r="B67" s="38"/>
      <c r="C67" s="38"/>
      <c r="D67" s="38"/>
      <c r="E67" s="38"/>
      <c r="F67" s="38"/>
      <c r="G67" s="38"/>
      <c r="H67" s="38"/>
      <c r="I67" s="38"/>
      <c r="J67" s="38"/>
      <c r="K67" s="38"/>
      <c r="L67" s="38"/>
      <c r="M67" s="38"/>
      <c r="N67" s="38"/>
    </row>
    <row r="68" spans="2:14">
      <c r="B68" s="38"/>
      <c r="C68" s="38"/>
      <c r="D68" s="38"/>
      <c r="E68" s="38"/>
      <c r="F68" s="38"/>
      <c r="G68" s="38"/>
      <c r="H68" s="38"/>
      <c r="I68" s="38"/>
      <c r="J68" s="38"/>
      <c r="K68" s="38"/>
      <c r="L68" s="38"/>
      <c r="M68" s="38"/>
      <c r="N68" s="38"/>
    </row>
    <row r="69" spans="2:14">
      <c r="B69" s="38"/>
      <c r="C69" s="38"/>
      <c r="D69" s="38"/>
      <c r="E69" s="38"/>
      <c r="F69" s="38"/>
      <c r="G69" s="38"/>
      <c r="H69" s="38"/>
      <c r="I69" s="38"/>
      <c r="J69" s="38"/>
      <c r="K69" s="38"/>
      <c r="L69" s="38"/>
      <c r="M69" s="38"/>
      <c r="N69" s="38"/>
    </row>
    <row r="70" spans="2:14">
      <c r="B70" s="38"/>
      <c r="C70" s="38"/>
      <c r="D70" s="38"/>
      <c r="E70" s="38"/>
      <c r="F70" s="38"/>
      <c r="G70" s="38"/>
      <c r="H70" s="38"/>
      <c r="I70" s="38"/>
      <c r="J70" s="38"/>
      <c r="K70" s="38"/>
      <c r="L70" s="38"/>
      <c r="M70" s="38"/>
      <c r="N70" s="38"/>
    </row>
    <row r="71" spans="2:14">
      <c r="B71" s="38"/>
      <c r="C71" s="38"/>
      <c r="D71" s="38"/>
      <c r="E71" s="38"/>
      <c r="F71" s="38"/>
      <c r="G71" s="38"/>
      <c r="H71" s="38"/>
      <c r="I71" s="38"/>
      <c r="J71" s="38"/>
      <c r="K71" s="38"/>
      <c r="L71" s="38"/>
      <c r="M71" s="38"/>
      <c r="N71" s="38"/>
    </row>
  </sheetData>
  <sheetProtection algorithmName="SHA-512" hashValue="z0xCCRnKgU3JXnwQR745UxTmybUVjChAUrSo6QsOcXNbOBR84XlM9E4lr7b7jCXU9xu9bnriO4izvXC2ZXSxQw==" saltValue="G4Wrb1YxLClifPTQnJLHyg==" spinCount="100000" sheet="1" objects="1" scenarios="1"/>
  <autoFilter ref="N2:N22" xr:uid="{00000000-0009-0000-0000-000001000000}">
    <filterColumn colId="0">
      <customFilters>
        <customFilter operator="notEqual" val=" "/>
      </customFilters>
    </filterColumn>
  </autoFilter>
  <mergeCells count="1">
    <mergeCell ref="A24:F24"/>
  </mergeCells>
  <phoneticPr fontId="2" type="noConversion"/>
  <pageMargins left="0.75" right="0.75" top="1" bottom="1" header="0.5" footer="0.5"/>
  <pageSetup paperSize="9" scale="37"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99FF99"/>
    <pageSetUpPr fitToPage="1"/>
  </sheetPr>
  <dimension ref="A1:DA2155"/>
  <sheetViews>
    <sheetView view="pageBreakPreview" topLeftCell="E8" zoomScale="90" zoomScaleNormal="90" zoomScaleSheetLayoutView="90" workbookViewId="0">
      <selection activeCell="Y208" sqref="Y208"/>
    </sheetView>
  </sheetViews>
  <sheetFormatPr defaultColWidth="9" defaultRowHeight="15"/>
  <cols>
    <col min="1" max="1" width="2.44140625" style="5" customWidth="1"/>
    <col min="2" max="2" width="6" style="5" customWidth="1"/>
    <col min="3" max="3" width="1.44140625" style="5" customWidth="1"/>
    <col min="4" max="4" width="1.88671875" style="5" customWidth="1"/>
    <col min="5" max="5" width="2.33203125" style="5" customWidth="1"/>
    <col min="6" max="6" width="7.88671875" style="5" customWidth="1"/>
    <col min="7" max="7" width="11.109375" style="5" customWidth="1"/>
    <col min="8" max="8" width="8" style="5" customWidth="1"/>
    <col min="9" max="9" width="6.88671875" style="5" customWidth="1"/>
    <col min="10" max="10" width="9.33203125" style="5" customWidth="1"/>
    <col min="11" max="11" width="8.44140625" style="5" customWidth="1"/>
    <col min="12" max="12" width="7.6640625" style="5" bestFit="1" customWidth="1"/>
    <col min="13" max="13" width="5.109375" style="5" bestFit="1" customWidth="1"/>
    <col min="14" max="15" width="6.44140625" style="5" bestFit="1" customWidth="1"/>
    <col min="16" max="16" width="7.44140625" style="5" customWidth="1"/>
    <col min="17" max="17" width="8" style="5" customWidth="1"/>
    <col min="18" max="19" width="6.44140625" style="5" bestFit="1" customWidth="1"/>
    <col min="20" max="20" width="7" style="5" customWidth="1"/>
    <col min="21" max="21" width="7.77734375" style="5" customWidth="1"/>
    <col min="22" max="22" width="6.44140625" style="5" bestFit="1" customWidth="1"/>
    <col min="23" max="23" width="6.21875" style="5" bestFit="1" customWidth="1"/>
    <col min="24" max="24" width="7.6640625" style="5" customWidth="1"/>
    <col min="25" max="25" width="6.88671875" style="5" customWidth="1"/>
    <col min="26" max="27" width="2.44140625" style="5" customWidth="1"/>
    <col min="28" max="28" width="4.44140625" style="5" customWidth="1"/>
    <col min="29" max="29" width="3.33203125" style="5" customWidth="1"/>
    <col min="30" max="30" width="8.44140625" style="5" customWidth="1"/>
    <col min="31" max="31" width="2" style="5" customWidth="1"/>
    <col min="32" max="32" width="3.44140625" style="5" customWidth="1"/>
    <col min="33" max="16384" width="9" style="5"/>
  </cols>
  <sheetData>
    <row r="1" spans="1:43" ht="21.75" customHeight="1">
      <c r="A1" s="2"/>
      <c r="B1" s="2"/>
      <c r="C1" s="2"/>
      <c r="D1" s="2"/>
      <c r="E1" s="2"/>
      <c r="F1" s="2"/>
      <c r="G1" s="2"/>
      <c r="H1" s="2"/>
      <c r="I1" s="2"/>
      <c r="J1" s="2"/>
      <c r="K1" s="2"/>
      <c r="L1" s="2"/>
      <c r="M1" s="2"/>
      <c r="N1" s="2"/>
      <c r="O1" s="2"/>
      <c r="P1" s="2"/>
      <c r="Q1" s="2"/>
      <c r="R1" s="2"/>
      <c r="S1" s="2"/>
      <c r="T1" s="2"/>
      <c r="U1" s="2"/>
      <c r="V1" s="2"/>
      <c r="W1" s="2"/>
      <c r="X1" s="2"/>
      <c r="Y1" s="2"/>
      <c r="Z1" s="2"/>
      <c r="AA1" s="1"/>
      <c r="AB1" s="1"/>
      <c r="AC1" s="2"/>
      <c r="AD1" s="2"/>
      <c r="AE1" s="2"/>
      <c r="AF1" s="2"/>
      <c r="AG1" s="2"/>
      <c r="AH1" s="2"/>
      <c r="AI1" s="2"/>
      <c r="AJ1" s="2"/>
      <c r="AK1" s="2"/>
      <c r="AL1" s="2"/>
      <c r="AM1" s="2"/>
      <c r="AN1" s="2"/>
      <c r="AO1" s="2"/>
      <c r="AP1" s="2"/>
      <c r="AQ1" s="2"/>
    </row>
    <row r="2" spans="1:43" ht="15" customHeight="1" thickBot="1">
      <c r="A2" s="2"/>
      <c r="B2" s="2"/>
      <c r="C2" s="2"/>
      <c r="D2" s="2"/>
      <c r="E2" s="2"/>
      <c r="F2" s="2"/>
      <c r="G2" s="2"/>
      <c r="H2" s="2"/>
      <c r="I2" s="2"/>
      <c r="J2" s="2"/>
      <c r="K2" s="2"/>
      <c r="L2" s="2"/>
      <c r="M2" s="2"/>
      <c r="N2" s="2"/>
      <c r="O2" s="2"/>
      <c r="P2" s="2"/>
      <c r="Q2" s="2"/>
      <c r="R2" s="2"/>
      <c r="S2" s="2"/>
      <c r="T2" s="2"/>
      <c r="U2" s="2"/>
      <c r="V2" s="2"/>
      <c r="W2" s="2"/>
      <c r="X2" s="2"/>
      <c r="Y2" s="2"/>
      <c r="Z2" s="2"/>
      <c r="AA2" s="1"/>
      <c r="AB2" s="1"/>
      <c r="AC2" s="2"/>
      <c r="AD2" s="2"/>
      <c r="AE2" s="2"/>
      <c r="AF2" s="2"/>
      <c r="AG2" s="2"/>
      <c r="AH2" s="2"/>
      <c r="AI2" s="2"/>
      <c r="AJ2" s="2"/>
      <c r="AK2" s="2"/>
      <c r="AL2" s="2"/>
      <c r="AM2" s="2"/>
      <c r="AN2" s="2"/>
      <c r="AO2" s="2"/>
      <c r="AP2" s="2"/>
      <c r="AQ2" s="2"/>
    </row>
    <row r="3" spans="1:43" ht="38.1" customHeight="1">
      <c r="A3" s="2"/>
      <c r="B3" s="153" t="s">
        <v>84</v>
      </c>
      <c r="C3" s="136"/>
      <c r="D3" s="136"/>
      <c r="E3" s="136"/>
      <c r="F3" s="158" t="str">
        <f>""&amp;Input!C10</f>
        <v>國震中心SPT液化評估方法測試案例</v>
      </c>
      <c r="G3" s="159"/>
      <c r="H3" s="159"/>
      <c r="I3" s="159"/>
      <c r="J3" s="159"/>
      <c r="K3" s="159"/>
      <c r="L3" s="159"/>
      <c r="M3" s="159"/>
      <c r="N3" s="160"/>
      <c r="O3" s="161" t="s">
        <v>85</v>
      </c>
      <c r="P3" s="161"/>
      <c r="Q3" s="161" t="str">
        <f>""&amp;Input!G12</f>
        <v>TEST-1</v>
      </c>
      <c r="R3" s="161"/>
      <c r="S3" s="136" t="s">
        <v>86</v>
      </c>
      <c r="T3" s="137"/>
      <c r="U3" s="144" t="s">
        <v>117</v>
      </c>
      <c r="V3" s="145"/>
      <c r="W3" s="145"/>
      <c r="X3" s="145"/>
      <c r="Y3" s="145"/>
      <c r="Z3" s="145"/>
      <c r="AA3" s="145"/>
      <c r="AB3" s="145"/>
      <c r="AC3" s="145"/>
      <c r="AD3" s="145"/>
      <c r="AE3" s="146"/>
      <c r="AF3" s="2"/>
      <c r="AG3" s="2"/>
      <c r="AH3" s="2"/>
      <c r="AI3" s="2"/>
      <c r="AJ3" s="2"/>
      <c r="AK3" s="2"/>
      <c r="AL3" s="2"/>
      <c r="AM3" s="2"/>
      <c r="AN3" s="2"/>
      <c r="AO3" s="2"/>
      <c r="AP3" s="2"/>
      <c r="AQ3" s="2"/>
    </row>
    <row r="4" spans="1:43" ht="34.5" customHeight="1">
      <c r="A4" s="2"/>
      <c r="B4" s="176" t="s">
        <v>98</v>
      </c>
      <c r="C4" s="152"/>
      <c r="D4" s="152"/>
      <c r="E4" s="152"/>
      <c r="F4" s="152"/>
      <c r="G4" s="177"/>
      <c r="H4" s="151" t="s">
        <v>58</v>
      </c>
      <c r="I4" s="152"/>
      <c r="J4" s="156" t="str">
        <f>""&amp;Input!D14</f>
        <v>國家地震工程研究中心 盧志杰</v>
      </c>
      <c r="K4" s="157"/>
      <c r="L4" s="157"/>
      <c r="M4" s="157"/>
      <c r="N4" s="157"/>
      <c r="O4" s="152" t="s">
        <v>87</v>
      </c>
      <c r="P4" s="152"/>
      <c r="Q4" s="152" t="str">
        <f>CONCATENATE(Input!O12,"m")</f>
        <v>0m</v>
      </c>
      <c r="R4" s="152"/>
      <c r="S4" s="140" t="str">
        <f>Input!B13</f>
        <v>座標(TWD97)</v>
      </c>
      <c r="T4" s="140"/>
      <c r="U4" s="62" t="s">
        <v>27</v>
      </c>
      <c r="V4" s="149" t="str">
        <f>""&amp;Input!D13</f>
        <v>305261.873</v>
      </c>
      <c r="W4" s="131"/>
      <c r="X4" s="131"/>
      <c r="Y4" s="63" t="s">
        <v>28</v>
      </c>
      <c r="Z4" s="147" t="str">
        <f>""&amp;Input!G13</f>
        <v>2767821.106</v>
      </c>
      <c r="AA4" s="131"/>
      <c r="AB4" s="131"/>
      <c r="AC4" s="131"/>
      <c r="AD4" s="131"/>
      <c r="AE4" s="148"/>
      <c r="AF4" s="2"/>
      <c r="AG4" s="2"/>
      <c r="AH4" s="2"/>
      <c r="AI4" s="2"/>
      <c r="AJ4" s="2"/>
      <c r="AK4" s="2"/>
      <c r="AL4" s="2"/>
      <c r="AM4" s="2"/>
      <c r="AN4" s="2"/>
      <c r="AO4" s="2"/>
      <c r="AP4" s="2"/>
      <c r="AQ4" s="2"/>
    </row>
    <row r="5" spans="1:43" ht="27.75" customHeight="1">
      <c r="A5" s="2"/>
      <c r="B5" s="162" t="s">
        <v>88</v>
      </c>
      <c r="C5" s="164" t="s">
        <v>89</v>
      </c>
      <c r="D5" s="165"/>
      <c r="E5" s="166"/>
      <c r="F5" s="164" t="s">
        <v>90</v>
      </c>
      <c r="G5" s="166"/>
      <c r="H5" s="170" t="s">
        <v>91</v>
      </c>
      <c r="I5" s="172" t="s">
        <v>92</v>
      </c>
      <c r="J5" s="173"/>
      <c r="K5" s="173"/>
      <c r="L5" s="173"/>
      <c r="M5" s="174"/>
      <c r="N5" s="156" t="str">
        <f>CONCATENATE("中小地震PGA=",Input!M10, "; Mw=",Input!M11)</f>
        <v>中小地震PGA=0.086; Mw=7.1</v>
      </c>
      <c r="O5" s="157"/>
      <c r="P5" s="157"/>
      <c r="Q5" s="175"/>
      <c r="R5" s="156" t="str">
        <f>CONCATENATE("設計地震PGA=",Input!N10, "; Mw=",Input!N11)</f>
        <v>設計地震PGA=0.24; Mw=7.3</v>
      </c>
      <c r="S5" s="157"/>
      <c r="T5" s="157"/>
      <c r="U5" s="175"/>
      <c r="V5" s="156" t="str">
        <f>CONCATENATE("最大地震PGA=",Input!O10, "; Mw=",Input!O11)</f>
        <v>最大地震PGA=0.32; Mw=7.5</v>
      </c>
      <c r="W5" s="157"/>
      <c r="X5" s="157"/>
      <c r="Y5" s="175"/>
      <c r="Z5" s="164" t="s">
        <v>93</v>
      </c>
      <c r="AA5" s="181"/>
      <c r="AB5" s="181"/>
      <c r="AC5" s="181"/>
      <c r="AD5" s="181"/>
      <c r="AE5" s="182"/>
      <c r="AF5" s="2"/>
      <c r="AG5" s="2"/>
      <c r="AH5" s="2"/>
      <c r="AI5" s="2"/>
      <c r="AJ5" s="2"/>
      <c r="AK5" s="2"/>
      <c r="AL5" s="2"/>
      <c r="AM5" s="2"/>
      <c r="AN5" s="2"/>
      <c r="AO5" s="2"/>
      <c r="AP5" s="2"/>
      <c r="AQ5" s="2"/>
    </row>
    <row r="6" spans="1:43" ht="40.5" customHeight="1">
      <c r="A6" s="2"/>
      <c r="B6" s="163"/>
      <c r="C6" s="167"/>
      <c r="D6" s="168"/>
      <c r="E6" s="169"/>
      <c r="F6" s="167"/>
      <c r="G6" s="169"/>
      <c r="H6" s="171"/>
      <c r="I6" s="95" t="s">
        <v>4</v>
      </c>
      <c r="J6" s="95" t="s">
        <v>94</v>
      </c>
      <c r="K6" s="95" t="s">
        <v>26</v>
      </c>
      <c r="L6" s="95" t="s">
        <v>25</v>
      </c>
      <c r="M6" s="95" t="s">
        <v>5</v>
      </c>
      <c r="N6" s="95" t="s">
        <v>78</v>
      </c>
      <c r="O6" s="95" t="s">
        <v>79</v>
      </c>
      <c r="P6" s="95" t="s">
        <v>53</v>
      </c>
      <c r="Q6" s="95" t="s">
        <v>6</v>
      </c>
      <c r="R6" s="95" t="s">
        <v>78</v>
      </c>
      <c r="S6" s="95" t="s">
        <v>79</v>
      </c>
      <c r="T6" s="95" t="s">
        <v>53</v>
      </c>
      <c r="U6" s="95" t="s">
        <v>6</v>
      </c>
      <c r="V6" s="95" t="s">
        <v>78</v>
      </c>
      <c r="W6" s="95" t="s">
        <v>79</v>
      </c>
      <c r="X6" s="95" t="s">
        <v>53</v>
      </c>
      <c r="Y6" s="95" t="s">
        <v>6</v>
      </c>
      <c r="Z6" s="183"/>
      <c r="AA6" s="184"/>
      <c r="AB6" s="184"/>
      <c r="AC6" s="184"/>
      <c r="AD6" s="184"/>
      <c r="AE6" s="185"/>
      <c r="AF6" s="2"/>
      <c r="AG6" s="2"/>
      <c r="AH6" s="2"/>
      <c r="AI6" s="2"/>
      <c r="AJ6" s="2"/>
      <c r="AK6" s="2"/>
      <c r="AL6" s="2"/>
      <c r="AM6" s="2"/>
      <c r="AN6" s="2"/>
      <c r="AO6" s="2"/>
      <c r="AP6" s="2"/>
      <c r="AQ6" s="2"/>
    </row>
    <row r="7" spans="1:43" ht="22.5" customHeight="1">
      <c r="A7" s="2"/>
      <c r="B7" s="3"/>
      <c r="C7" s="92"/>
      <c r="D7" s="46"/>
      <c r="E7" s="138" t="s">
        <v>51</v>
      </c>
      <c r="F7" s="154" t="s">
        <v>68</v>
      </c>
      <c r="G7" s="155"/>
      <c r="H7" s="64"/>
      <c r="I7" s="65"/>
      <c r="J7" s="66"/>
      <c r="K7" s="65"/>
      <c r="L7" s="66"/>
      <c r="M7" s="66"/>
      <c r="N7" s="66"/>
      <c r="O7" s="66"/>
      <c r="P7" s="66"/>
      <c r="Q7" s="66"/>
      <c r="R7" s="66"/>
      <c r="S7" s="65"/>
      <c r="T7" s="65"/>
      <c r="U7" s="65"/>
      <c r="V7" s="66"/>
      <c r="W7" s="66"/>
      <c r="X7" s="66"/>
      <c r="Y7" s="65"/>
      <c r="Z7" s="141" t="s">
        <v>69</v>
      </c>
      <c r="AA7" s="142"/>
      <c r="AB7" s="142"/>
      <c r="AC7" s="142"/>
      <c r="AD7" s="142"/>
      <c r="AE7" s="143"/>
      <c r="AF7" s="2"/>
      <c r="AG7" s="2"/>
      <c r="AH7" s="2"/>
      <c r="AI7" s="2"/>
      <c r="AJ7" s="2"/>
      <c r="AK7" s="2"/>
      <c r="AL7" s="2"/>
      <c r="AM7" s="2"/>
      <c r="AN7" s="2"/>
      <c r="AO7" s="2"/>
      <c r="AP7" s="2"/>
      <c r="AQ7" s="2"/>
    </row>
    <row r="8" spans="1:43" ht="2.25" customHeight="1">
      <c r="A8" s="2"/>
      <c r="B8" s="4"/>
      <c r="C8" s="179"/>
      <c r="D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8" s="139"/>
      <c r="F8" s="93"/>
      <c r="G8" s="94"/>
      <c r="H8" s="178">
        <f>IF(TYPE(MATCH(20*(ROW()-7)/200,Input!$L$17:$L$36,1))&lt;&gt;16,IF(20*(ROW()-7)/200&gt;MAX(Input!$L$17:$L$36),"",INDEX(Input!$O$17:$O$36,MATCH(20*(ROW()-7)/200,Input!$L$17:$L$36,1)+1)),Input!$O$17)</f>
        <v>1.0125</v>
      </c>
      <c r="I8" s="187">
        <f>IF(H8="","",INDEX(Input!$G$17:$G$36,MATCH($H8,Input!$O$17:$O$36,0)))</f>
        <v>8</v>
      </c>
      <c r="J8" s="178">
        <f>IF(INDEX(Input!$C$17:$C$36,MATCH($H8,Input!$O$17:$O$36,0))=0,"",INDEX(Input!$C$17:$C$36,MATCH($H8,Input!$O$17:$O$36,0)))</f>
        <v>19.52</v>
      </c>
      <c r="K8" s="178">
        <f>IF(INDEX(Input!$P$17:$P$36,MATCH($H8,Input!$O$17:$O$36,0))=0,"",INDEX(Input!$P$17:$P$36,MATCH($H8,Input!$O$17:$O$36,0)))</f>
        <v>19.763999999999999</v>
      </c>
      <c r="L8" s="178">
        <f>IF(INDEX(Input!$Q$17:$Q$36,MATCH($H8,Input!$O$17:$O$36,0))=0,"",INDEX(Input!$Q$17:$Q$36,MATCH($H8,Input!$O$17:$O$36,0)))</f>
        <v>9.8313749999999995</v>
      </c>
      <c r="M8" s="187">
        <f>IF(INDEX(Input!$H$17:$H$36,MATCH($H8,Input!$O$17:$O$36,0))=0,"",INDEX(Input!$H$17:$H$36,MATCH($H8,Input!$O$17:$O$36,0)))</f>
        <v>83</v>
      </c>
      <c r="N8" s="150">
        <f>INDEX(HBF!$M$3:$M$22,MATCH($H8,Input!$O$17:$O$36,0))</f>
        <v>0.39242298836514505</v>
      </c>
      <c r="O8" s="150">
        <f>INDEX(HBF!$N$3:$N$22,MATCH($H8,Input!$O$17:$O$36,0))</f>
        <v>0.111237891246138</v>
      </c>
      <c r="P8" s="178">
        <f>INDEX(HBF!$O$3:$O$22,MATCH($H8,Input!$O$17:$O$36,0))</f>
        <v>3</v>
      </c>
      <c r="Q8" s="178">
        <f>INDEX(HBF!$P$3:$P$22,MATCH($H8,Input!$O$17:$O$36,0))</f>
        <v>0</v>
      </c>
      <c r="R8" s="150">
        <f>INDEX(HBF!$F$3:$F$22,MATCH($H8,Input!$O$17:$O$36,0))</f>
        <v>0.3732830931297515</v>
      </c>
      <c r="S8" s="150">
        <f>INDEX(HBF!$H$3:$H$22,MATCH($H8,Input!$O$17:$O$36,0))</f>
        <v>0.31043132440782695</v>
      </c>
      <c r="T8" s="178">
        <f>INDEX(HBF!$I$3:$I$22,MATCH($H8,Input!$O$17:$O$36,0))</f>
        <v>1.202465936199639</v>
      </c>
      <c r="U8" s="178">
        <f>INDEX(HBF!$K$3:$K$22,MATCH($H8,Input!$O$17:$O$36,0))</f>
        <v>0</v>
      </c>
      <c r="V8" s="150">
        <f>INDEX(HBF!$R$3:$R$22,MATCH($H8,Input!$O$17:$O$36,0))</f>
        <v>0.355556968124291</v>
      </c>
      <c r="W8" s="150">
        <f>INDEX(HBF!$S$3:$S$22,MATCH($H8,Input!$O$17:$O$36,0))</f>
        <v>0.4139084325437693</v>
      </c>
      <c r="X8" s="178">
        <f>INDEX(HBF!$T$3:$T$22,MATCH($H8,Input!$O$17:$O$36,0))</f>
        <v>0.85902325289468984</v>
      </c>
      <c r="Y8" s="178">
        <f>INDEX(HBF!$U$3:$U$22,MATCH($H8,Input!$O$17:$O$36,0))</f>
        <v>2.7102559354828526</v>
      </c>
      <c r="Z8" s="86"/>
      <c r="AA8" s="1"/>
      <c r="AB8" s="1"/>
      <c r="AC8" s="54"/>
      <c r="AD8" s="55"/>
      <c r="AE8" s="56"/>
      <c r="AF8" s="2"/>
      <c r="AG8" s="2"/>
      <c r="AH8" s="2"/>
      <c r="AI8" s="2"/>
      <c r="AJ8" s="2"/>
      <c r="AK8" s="2"/>
      <c r="AL8" s="2"/>
      <c r="AM8" s="2"/>
      <c r="AN8" s="2"/>
      <c r="AO8" s="2"/>
      <c r="AP8" s="2"/>
      <c r="AQ8" s="2"/>
    </row>
    <row r="9" spans="1:43" ht="2.25" customHeight="1">
      <c r="A9" s="2"/>
      <c r="B9" s="4"/>
      <c r="C9" s="180"/>
      <c r="D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9" s="139"/>
      <c r="F9" s="93"/>
      <c r="G9" s="94"/>
      <c r="H9" s="178"/>
      <c r="I9" s="187"/>
      <c r="J9" s="178"/>
      <c r="K9" s="178"/>
      <c r="L9" s="178"/>
      <c r="M9" s="187"/>
      <c r="N9" s="150"/>
      <c r="O9" s="150"/>
      <c r="P9" s="178"/>
      <c r="Q9" s="178"/>
      <c r="R9" s="150"/>
      <c r="S9" s="150"/>
      <c r="T9" s="178"/>
      <c r="U9" s="178"/>
      <c r="V9" s="150"/>
      <c r="W9" s="150"/>
      <c r="X9" s="178"/>
      <c r="Y9" s="178"/>
      <c r="Z9" s="86"/>
      <c r="AA9" s="1"/>
      <c r="AB9" s="1"/>
      <c r="AC9" s="54"/>
      <c r="AD9" s="55"/>
      <c r="AE9" s="56"/>
      <c r="AF9" s="2"/>
      <c r="AG9" s="2"/>
      <c r="AH9" s="2"/>
      <c r="AI9" s="2"/>
      <c r="AJ9" s="2"/>
      <c r="AK9" s="2"/>
      <c r="AL9" s="2"/>
      <c r="AM9" s="2"/>
      <c r="AN9" s="2"/>
      <c r="AO9" s="2"/>
      <c r="AP9" s="2"/>
      <c r="AQ9" s="2"/>
    </row>
    <row r="10" spans="1:43" ht="2.25" customHeight="1">
      <c r="A10" s="2"/>
      <c r="B10" s="4"/>
      <c r="C10" s="180"/>
      <c r="D1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 s="139"/>
      <c r="F10" s="93"/>
      <c r="G10" s="94"/>
      <c r="H10" s="178"/>
      <c r="I10" s="187"/>
      <c r="J10" s="178"/>
      <c r="K10" s="178"/>
      <c r="L10" s="178"/>
      <c r="M10" s="187"/>
      <c r="N10" s="150"/>
      <c r="O10" s="150"/>
      <c r="P10" s="178"/>
      <c r="Q10" s="178"/>
      <c r="R10" s="150"/>
      <c r="S10" s="150"/>
      <c r="T10" s="178"/>
      <c r="U10" s="178"/>
      <c r="V10" s="150"/>
      <c r="W10" s="150"/>
      <c r="X10" s="178"/>
      <c r="Y10" s="178"/>
      <c r="Z10" s="86"/>
      <c r="AA10" s="1"/>
      <c r="AB10" s="1"/>
      <c r="AC10" s="54"/>
      <c r="AD10" s="55"/>
      <c r="AE10" s="56"/>
      <c r="AF10" s="2"/>
      <c r="AG10" s="2"/>
      <c r="AH10" s="2"/>
      <c r="AI10" s="2"/>
      <c r="AJ10" s="2"/>
      <c r="AK10" s="2"/>
      <c r="AL10" s="2"/>
      <c r="AM10" s="2"/>
      <c r="AN10" s="2"/>
      <c r="AO10" s="2"/>
      <c r="AP10" s="2"/>
      <c r="AQ10" s="2"/>
    </row>
    <row r="11" spans="1:43" ht="2.25" customHeight="1">
      <c r="A11" s="2"/>
      <c r="B11" s="4"/>
      <c r="C11" s="180"/>
      <c r="D1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 s="139"/>
      <c r="F11" s="93"/>
      <c r="G11" s="94"/>
      <c r="H11" s="178"/>
      <c r="I11" s="187"/>
      <c r="J11" s="178"/>
      <c r="K11" s="178"/>
      <c r="L11" s="178"/>
      <c r="M11" s="187"/>
      <c r="N11" s="150"/>
      <c r="O11" s="150"/>
      <c r="P11" s="178"/>
      <c r="Q11" s="178"/>
      <c r="R11" s="150"/>
      <c r="S11" s="150"/>
      <c r="T11" s="178"/>
      <c r="U11" s="178"/>
      <c r="V11" s="150"/>
      <c r="W11" s="150"/>
      <c r="X11" s="178"/>
      <c r="Y11" s="178"/>
      <c r="Z11" s="86"/>
      <c r="AA11" s="1"/>
      <c r="AB11" s="1"/>
      <c r="AC11" s="54"/>
      <c r="AD11" s="55"/>
      <c r="AE11" s="56"/>
      <c r="AF11" s="2"/>
      <c r="AG11" s="2"/>
      <c r="AH11" s="2"/>
      <c r="AI11" s="2"/>
      <c r="AJ11" s="2"/>
      <c r="AK11" s="2"/>
      <c r="AL11" s="2"/>
      <c r="AM11" s="2"/>
      <c r="AN11" s="2"/>
      <c r="AO11" s="2"/>
      <c r="AP11" s="2"/>
      <c r="AQ11" s="2"/>
    </row>
    <row r="12" spans="1:43" ht="2.25" customHeight="1">
      <c r="A12" s="2"/>
      <c r="B12" s="4"/>
      <c r="C12" s="179"/>
      <c r="D1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 s="139"/>
      <c r="F12" s="93"/>
      <c r="G12" s="94"/>
      <c r="H12" s="178"/>
      <c r="I12" s="187"/>
      <c r="J12" s="178"/>
      <c r="K12" s="178"/>
      <c r="L12" s="178"/>
      <c r="M12" s="187"/>
      <c r="N12" s="150"/>
      <c r="O12" s="150"/>
      <c r="P12" s="178"/>
      <c r="Q12" s="178"/>
      <c r="R12" s="150"/>
      <c r="S12" s="150"/>
      <c r="T12" s="178"/>
      <c r="U12" s="178"/>
      <c r="V12" s="150"/>
      <c r="W12" s="150"/>
      <c r="X12" s="178"/>
      <c r="Y12" s="178"/>
      <c r="Z12" s="86"/>
      <c r="AA12" s="1"/>
      <c r="AB12" s="1"/>
      <c r="AC12" s="54"/>
      <c r="AD12" s="55"/>
      <c r="AE12" s="56"/>
      <c r="AF12" s="2"/>
      <c r="AG12" s="2"/>
      <c r="AH12" s="2"/>
      <c r="AI12" s="2"/>
      <c r="AJ12" s="2"/>
      <c r="AK12" s="2"/>
      <c r="AL12" s="2"/>
      <c r="AM12" s="2"/>
      <c r="AN12" s="2"/>
      <c r="AO12" s="2"/>
      <c r="AP12" s="2"/>
      <c r="AQ12" s="2"/>
    </row>
    <row r="13" spans="1:43" ht="2.25" customHeight="1">
      <c r="A13" s="2"/>
      <c r="B13" s="4"/>
      <c r="C13" s="180"/>
      <c r="D1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 s="139"/>
      <c r="F13" s="93"/>
      <c r="G13" s="94"/>
      <c r="H13" s="178"/>
      <c r="I13" s="187"/>
      <c r="J13" s="178"/>
      <c r="K13" s="178"/>
      <c r="L13" s="178"/>
      <c r="M13" s="187"/>
      <c r="N13" s="150"/>
      <c r="O13" s="150"/>
      <c r="P13" s="178"/>
      <c r="Q13" s="178"/>
      <c r="R13" s="150"/>
      <c r="S13" s="150"/>
      <c r="T13" s="178"/>
      <c r="U13" s="178"/>
      <c r="V13" s="150"/>
      <c r="W13" s="150"/>
      <c r="X13" s="178"/>
      <c r="Y13" s="178"/>
      <c r="Z13" s="86"/>
      <c r="AA13" s="1"/>
      <c r="AB13" s="186"/>
      <c r="AC13" s="186"/>
      <c r="AD13" s="55"/>
      <c r="AE13" s="56"/>
      <c r="AF13" s="2"/>
      <c r="AG13" s="2"/>
      <c r="AH13" s="2"/>
      <c r="AI13" s="2"/>
      <c r="AJ13" s="2"/>
      <c r="AK13" s="2"/>
      <c r="AL13" s="2"/>
      <c r="AM13" s="2"/>
      <c r="AN13" s="2"/>
      <c r="AO13" s="2"/>
      <c r="AP13" s="2"/>
      <c r="AQ13" s="2"/>
    </row>
    <row r="14" spans="1:43" ht="2.25" customHeight="1">
      <c r="A14" s="2"/>
      <c r="B14" s="4"/>
      <c r="C14" s="180"/>
      <c r="D1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 s="139"/>
      <c r="F14" s="93"/>
      <c r="G14" s="94"/>
      <c r="H14" s="178"/>
      <c r="I14" s="187"/>
      <c r="J14" s="178"/>
      <c r="K14" s="178"/>
      <c r="L14" s="178"/>
      <c r="M14" s="187"/>
      <c r="N14" s="150"/>
      <c r="O14" s="150"/>
      <c r="P14" s="178"/>
      <c r="Q14" s="178"/>
      <c r="R14" s="150"/>
      <c r="S14" s="150"/>
      <c r="T14" s="178"/>
      <c r="U14" s="178"/>
      <c r="V14" s="150"/>
      <c r="W14" s="150"/>
      <c r="X14" s="178"/>
      <c r="Y14" s="178"/>
      <c r="Z14" s="86"/>
      <c r="AA14" s="1"/>
      <c r="AB14" s="186"/>
      <c r="AC14" s="186"/>
      <c r="AD14" s="55"/>
      <c r="AE14" s="56"/>
      <c r="AF14" s="2"/>
      <c r="AG14" s="2"/>
      <c r="AH14" s="2"/>
      <c r="AI14" s="2"/>
      <c r="AJ14" s="2"/>
      <c r="AK14" s="2"/>
      <c r="AL14" s="2"/>
      <c r="AM14" s="2"/>
      <c r="AN14" s="2"/>
      <c r="AO14" s="2"/>
      <c r="AP14" s="2"/>
      <c r="AQ14" s="2"/>
    </row>
    <row r="15" spans="1:43" ht="2.25" customHeight="1">
      <c r="A15" s="2"/>
      <c r="B15" s="4"/>
      <c r="C15" s="180"/>
      <c r="D1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5" s="139"/>
      <c r="F15" s="93"/>
      <c r="G15" s="94"/>
      <c r="H15" s="178"/>
      <c r="I15" s="187"/>
      <c r="J15" s="178"/>
      <c r="K15" s="178"/>
      <c r="L15" s="178"/>
      <c r="M15" s="187"/>
      <c r="N15" s="150"/>
      <c r="O15" s="150"/>
      <c r="P15" s="178"/>
      <c r="Q15" s="178"/>
      <c r="R15" s="150"/>
      <c r="S15" s="150"/>
      <c r="T15" s="178"/>
      <c r="U15" s="178"/>
      <c r="V15" s="150"/>
      <c r="W15" s="150"/>
      <c r="X15" s="178"/>
      <c r="Y15" s="178"/>
      <c r="Z15" s="86"/>
      <c r="AA15" s="1"/>
      <c r="AB15" s="186"/>
      <c r="AC15" s="186"/>
      <c r="AD15" s="55"/>
      <c r="AE15" s="56"/>
      <c r="AF15" s="2"/>
      <c r="AG15" s="2"/>
      <c r="AH15" s="2"/>
      <c r="AI15" s="2"/>
      <c r="AJ15" s="2"/>
      <c r="AK15" s="2"/>
      <c r="AL15" s="2"/>
      <c r="AM15" s="2"/>
      <c r="AN15" s="2"/>
      <c r="AO15" s="2"/>
      <c r="AP15" s="2"/>
      <c r="AQ15" s="2"/>
    </row>
    <row r="16" spans="1:43" ht="2.25" customHeight="1">
      <c r="A16" s="2"/>
      <c r="B16" s="4"/>
      <c r="C16" s="179"/>
      <c r="D1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6" s="139"/>
      <c r="F16" s="93"/>
      <c r="G16" s="94"/>
      <c r="H16" s="178"/>
      <c r="I16" s="187"/>
      <c r="J16" s="178"/>
      <c r="K16" s="178"/>
      <c r="L16" s="178"/>
      <c r="M16" s="187"/>
      <c r="N16" s="150"/>
      <c r="O16" s="150"/>
      <c r="P16" s="178"/>
      <c r="Q16" s="178"/>
      <c r="R16" s="150"/>
      <c r="S16" s="150"/>
      <c r="T16" s="178"/>
      <c r="U16" s="178"/>
      <c r="V16" s="150"/>
      <c r="W16" s="150"/>
      <c r="X16" s="178"/>
      <c r="Y16" s="178"/>
      <c r="Z16" s="86"/>
      <c r="AA16" s="1"/>
      <c r="AB16" s="186"/>
      <c r="AC16" s="186"/>
      <c r="AD16" s="55"/>
      <c r="AE16" s="56"/>
      <c r="AF16" s="2"/>
      <c r="AG16" s="2"/>
      <c r="AH16" s="2"/>
      <c r="AI16" s="2"/>
      <c r="AJ16" s="2"/>
      <c r="AK16" s="2"/>
      <c r="AL16" s="2"/>
      <c r="AM16" s="2"/>
      <c r="AN16" s="2"/>
      <c r="AO16" s="2"/>
      <c r="AP16" s="2"/>
      <c r="AQ16" s="2"/>
    </row>
    <row r="17" spans="1:43" ht="2.25" customHeight="1">
      <c r="A17" s="2"/>
      <c r="B17" s="4"/>
      <c r="C17" s="180"/>
      <c r="D1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7" s="139"/>
      <c r="F17" s="93"/>
      <c r="G17" s="94"/>
      <c r="H17" s="178"/>
      <c r="I17" s="187"/>
      <c r="J17" s="178"/>
      <c r="K17" s="178"/>
      <c r="L17" s="178"/>
      <c r="M17" s="187"/>
      <c r="N17" s="150"/>
      <c r="O17" s="150"/>
      <c r="P17" s="178"/>
      <c r="Q17" s="178"/>
      <c r="R17" s="150"/>
      <c r="S17" s="150"/>
      <c r="T17" s="178"/>
      <c r="U17" s="178"/>
      <c r="V17" s="150"/>
      <c r="W17" s="150"/>
      <c r="X17" s="178"/>
      <c r="Y17" s="178"/>
      <c r="Z17" s="86"/>
      <c r="AA17" s="1"/>
      <c r="AB17" s="186"/>
      <c r="AC17" s="186"/>
      <c r="AD17" s="55"/>
      <c r="AE17" s="56"/>
      <c r="AF17" s="2"/>
      <c r="AG17" s="2"/>
      <c r="AH17" s="2"/>
      <c r="AI17" s="2"/>
      <c r="AJ17" s="2"/>
      <c r="AK17" s="2"/>
      <c r="AL17" s="2"/>
      <c r="AM17" s="2"/>
      <c r="AN17" s="2"/>
      <c r="AO17" s="2"/>
      <c r="AP17" s="2"/>
      <c r="AQ17" s="2"/>
    </row>
    <row r="18" spans="1:43" ht="2.25" customHeight="1">
      <c r="A18" s="2"/>
      <c r="B18" s="4"/>
      <c r="C18" s="180"/>
      <c r="D1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8" s="103"/>
      <c r="F18" s="93"/>
      <c r="G18" s="94"/>
      <c r="H18" s="178"/>
      <c r="I18" s="187"/>
      <c r="J18" s="178"/>
      <c r="K18" s="178"/>
      <c r="L18" s="178"/>
      <c r="M18" s="187"/>
      <c r="N18" s="150"/>
      <c r="O18" s="150"/>
      <c r="P18" s="178"/>
      <c r="Q18" s="178"/>
      <c r="R18" s="150"/>
      <c r="S18" s="150"/>
      <c r="T18" s="178"/>
      <c r="U18" s="178"/>
      <c r="V18" s="150"/>
      <c r="W18" s="150"/>
      <c r="X18" s="178"/>
      <c r="Y18" s="178"/>
      <c r="Z18" s="86"/>
      <c r="AA18" s="1"/>
      <c r="AB18" s="186"/>
      <c r="AC18" s="186"/>
      <c r="AD18" s="55"/>
      <c r="AE18" s="56"/>
      <c r="AF18" s="2"/>
      <c r="AG18" s="2"/>
      <c r="AH18" s="2"/>
      <c r="AI18" s="2"/>
      <c r="AJ18" s="2"/>
      <c r="AK18" s="2"/>
      <c r="AL18" s="2"/>
      <c r="AM18" s="2"/>
      <c r="AN18" s="2"/>
      <c r="AO18" s="2"/>
      <c r="AP18" s="2"/>
      <c r="AQ18" s="2"/>
    </row>
    <row r="19" spans="1:43" ht="2.25" customHeight="1">
      <c r="A19" s="2"/>
      <c r="B19" s="4"/>
      <c r="C19" s="180"/>
      <c r="D1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9" s="103"/>
      <c r="F19" s="93"/>
      <c r="G19" s="94"/>
      <c r="H19" s="178"/>
      <c r="I19" s="187"/>
      <c r="J19" s="178"/>
      <c r="K19" s="178"/>
      <c r="L19" s="178"/>
      <c r="M19" s="187"/>
      <c r="N19" s="150"/>
      <c r="O19" s="150"/>
      <c r="P19" s="178"/>
      <c r="Q19" s="178"/>
      <c r="R19" s="150"/>
      <c r="S19" s="150"/>
      <c r="T19" s="178"/>
      <c r="U19" s="178"/>
      <c r="V19" s="150"/>
      <c r="W19" s="150"/>
      <c r="X19" s="178"/>
      <c r="Y19" s="178"/>
      <c r="Z19" s="86"/>
      <c r="AA19" s="1"/>
      <c r="AB19" s="186"/>
      <c r="AC19" s="186"/>
      <c r="AD19" s="55"/>
      <c r="AE19" s="56"/>
      <c r="AF19" s="2"/>
      <c r="AG19" s="2"/>
      <c r="AH19" s="2"/>
      <c r="AI19" s="2"/>
      <c r="AJ19" s="2"/>
      <c r="AK19" s="2"/>
      <c r="AL19" s="2"/>
      <c r="AM19" s="2"/>
      <c r="AN19" s="2"/>
      <c r="AO19" s="2"/>
      <c r="AP19" s="2"/>
      <c r="AQ19" s="2"/>
    </row>
    <row r="20" spans="1:43" ht="2.25" customHeight="1">
      <c r="A20" s="2"/>
      <c r="B20" s="4"/>
      <c r="C20" s="179"/>
      <c r="D2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0" s="103"/>
      <c r="F20" s="93"/>
      <c r="G20" s="94"/>
      <c r="H20" s="178"/>
      <c r="I20" s="187"/>
      <c r="J20" s="178"/>
      <c r="K20" s="178"/>
      <c r="L20" s="178"/>
      <c r="M20" s="187"/>
      <c r="N20" s="150"/>
      <c r="O20" s="150"/>
      <c r="P20" s="178"/>
      <c r="Q20" s="178"/>
      <c r="R20" s="150"/>
      <c r="S20" s="150"/>
      <c r="T20" s="178"/>
      <c r="U20" s="178"/>
      <c r="V20" s="150"/>
      <c r="W20" s="150"/>
      <c r="X20" s="178"/>
      <c r="Y20" s="178"/>
      <c r="Z20" s="86"/>
      <c r="AA20" s="1"/>
      <c r="AB20" s="186"/>
      <c r="AC20" s="186"/>
      <c r="AD20" s="55"/>
      <c r="AE20" s="56"/>
      <c r="AF20" s="2"/>
      <c r="AG20" s="2"/>
      <c r="AH20" s="2"/>
      <c r="AI20" s="2"/>
      <c r="AJ20" s="2"/>
      <c r="AK20" s="2"/>
      <c r="AL20" s="2"/>
      <c r="AM20" s="2"/>
      <c r="AN20" s="2"/>
      <c r="AO20" s="2"/>
      <c r="AP20" s="2"/>
      <c r="AQ20" s="2"/>
    </row>
    <row r="21" spans="1:43" ht="2.25" customHeight="1">
      <c r="A21" s="2"/>
      <c r="B21" s="4"/>
      <c r="C21" s="180"/>
      <c r="D2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1" s="103"/>
      <c r="F21" s="93"/>
      <c r="G21" s="94"/>
      <c r="H21" s="178"/>
      <c r="I21" s="187"/>
      <c r="J21" s="178"/>
      <c r="K21" s="178"/>
      <c r="L21" s="178"/>
      <c r="M21" s="187"/>
      <c r="N21" s="150"/>
      <c r="O21" s="150"/>
      <c r="P21" s="178"/>
      <c r="Q21" s="178"/>
      <c r="R21" s="150"/>
      <c r="S21" s="150"/>
      <c r="T21" s="178"/>
      <c r="U21" s="178"/>
      <c r="V21" s="150"/>
      <c r="W21" s="150"/>
      <c r="X21" s="178"/>
      <c r="Y21" s="178"/>
      <c r="Z21" s="86"/>
      <c r="AA21" s="1"/>
      <c r="AB21" s="186"/>
      <c r="AC21" s="186"/>
      <c r="AD21" s="55"/>
      <c r="AE21" s="56"/>
      <c r="AF21" s="2"/>
      <c r="AG21" s="2"/>
      <c r="AH21" s="2"/>
      <c r="AI21" s="2"/>
      <c r="AJ21" s="2"/>
      <c r="AK21" s="2"/>
      <c r="AL21" s="2"/>
      <c r="AM21" s="2"/>
      <c r="AN21" s="2"/>
      <c r="AO21" s="2"/>
      <c r="AP21" s="2"/>
      <c r="AQ21" s="2"/>
    </row>
    <row r="22" spans="1:43" ht="2.25" customHeight="1">
      <c r="A22" s="2"/>
      <c r="B22" s="4"/>
      <c r="C22" s="180"/>
      <c r="D2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2" s="103"/>
      <c r="F22" s="93"/>
      <c r="G22" s="94"/>
      <c r="H22" s="178"/>
      <c r="I22" s="187"/>
      <c r="J22" s="178"/>
      <c r="K22" s="178"/>
      <c r="L22" s="178"/>
      <c r="M22" s="187"/>
      <c r="N22" s="150"/>
      <c r="O22" s="150"/>
      <c r="P22" s="178"/>
      <c r="Q22" s="178"/>
      <c r="R22" s="150"/>
      <c r="S22" s="150"/>
      <c r="T22" s="178"/>
      <c r="U22" s="178"/>
      <c r="V22" s="150"/>
      <c r="W22" s="150"/>
      <c r="X22" s="178"/>
      <c r="Y22" s="178"/>
      <c r="Z22" s="86"/>
      <c r="AA22" s="1"/>
      <c r="AB22" s="186"/>
      <c r="AC22" s="186"/>
      <c r="AD22" s="55"/>
      <c r="AE22" s="56"/>
      <c r="AF22" s="2"/>
      <c r="AG22" s="2"/>
      <c r="AH22" s="2"/>
      <c r="AI22" s="2"/>
      <c r="AJ22" s="2"/>
      <c r="AK22" s="2"/>
      <c r="AL22" s="2"/>
      <c r="AM22" s="2"/>
      <c r="AN22" s="2"/>
      <c r="AO22" s="2"/>
      <c r="AP22" s="2"/>
      <c r="AQ22" s="2"/>
    </row>
    <row r="23" spans="1:43" ht="2.25" customHeight="1">
      <c r="A23" s="2"/>
      <c r="B23" s="4"/>
      <c r="C23" s="180"/>
      <c r="D2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3" s="103"/>
      <c r="F23" s="93"/>
      <c r="G23" s="94"/>
      <c r="H23" s="178"/>
      <c r="I23" s="187"/>
      <c r="J23" s="178"/>
      <c r="K23" s="178"/>
      <c r="L23" s="178"/>
      <c r="M23" s="187"/>
      <c r="N23" s="150"/>
      <c r="O23" s="150"/>
      <c r="P23" s="178"/>
      <c r="Q23" s="178"/>
      <c r="R23" s="150"/>
      <c r="S23" s="150"/>
      <c r="T23" s="178"/>
      <c r="U23" s="178"/>
      <c r="V23" s="150"/>
      <c r="W23" s="150"/>
      <c r="X23" s="178"/>
      <c r="Y23" s="178"/>
      <c r="Z23" s="86"/>
      <c r="AA23" s="1"/>
      <c r="AB23" s="186"/>
      <c r="AC23" s="186"/>
      <c r="AD23" s="55"/>
      <c r="AE23" s="56"/>
      <c r="AF23" s="2"/>
      <c r="AG23" s="2"/>
      <c r="AH23" s="2"/>
      <c r="AI23" s="2"/>
      <c r="AJ23" s="2"/>
      <c r="AK23" s="2"/>
      <c r="AL23" s="2"/>
      <c r="AM23" s="2"/>
      <c r="AN23" s="2"/>
      <c r="AO23" s="2"/>
      <c r="AP23" s="2"/>
      <c r="AQ23" s="2"/>
    </row>
    <row r="24" spans="1:43" ht="2.25" customHeight="1">
      <c r="A24" s="2"/>
      <c r="B24" s="4"/>
      <c r="C24" s="179"/>
      <c r="D2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4" s="103"/>
      <c r="F24" s="93"/>
      <c r="G24" s="94"/>
      <c r="H24" s="178"/>
      <c r="I24" s="187"/>
      <c r="J24" s="178"/>
      <c r="K24" s="178"/>
      <c r="L24" s="178"/>
      <c r="M24" s="187"/>
      <c r="N24" s="150"/>
      <c r="O24" s="150"/>
      <c r="P24" s="178"/>
      <c r="Q24" s="178"/>
      <c r="R24" s="150"/>
      <c r="S24" s="150"/>
      <c r="T24" s="178"/>
      <c r="U24" s="178"/>
      <c r="V24" s="150"/>
      <c r="W24" s="150"/>
      <c r="X24" s="178"/>
      <c r="Y24" s="178"/>
      <c r="Z24" s="86"/>
      <c r="AA24" s="1"/>
      <c r="AB24" s="186"/>
      <c r="AC24" s="186"/>
      <c r="AD24" s="55"/>
      <c r="AE24" s="56"/>
      <c r="AF24" s="2"/>
      <c r="AG24" s="2"/>
      <c r="AH24" s="2"/>
      <c r="AI24" s="2"/>
      <c r="AJ24" s="2"/>
      <c r="AK24" s="2"/>
      <c r="AL24" s="2"/>
      <c r="AM24" s="2"/>
      <c r="AN24" s="2"/>
      <c r="AO24" s="2"/>
      <c r="AP24" s="2"/>
      <c r="AQ24" s="2"/>
    </row>
    <row r="25" spans="1:43" ht="2.25" customHeight="1">
      <c r="A25" s="2"/>
      <c r="B25" s="4"/>
      <c r="C25" s="180"/>
      <c r="D2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5" s="103"/>
      <c r="F25" s="93"/>
      <c r="G25" s="94"/>
      <c r="H25" s="178"/>
      <c r="I25" s="187"/>
      <c r="J25" s="178"/>
      <c r="K25" s="178"/>
      <c r="L25" s="178"/>
      <c r="M25" s="187"/>
      <c r="N25" s="150"/>
      <c r="O25" s="150"/>
      <c r="P25" s="178"/>
      <c r="Q25" s="178"/>
      <c r="R25" s="150"/>
      <c r="S25" s="150"/>
      <c r="T25" s="178"/>
      <c r="U25" s="178"/>
      <c r="V25" s="150"/>
      <c r="W25" s="150"/>
      <c r="X25" s="178"/>
      <c r="Y25" s="178"/>
      <c r="Z25" s="86"/>
      <c r="AA25" s="1"/>
      <c r="AB25" s="186"/>
      <c r="AC25" s="186"/>
      <c r="AD25" s="55"/>
      <c r="AE25" s="56"/>
      <c r="AF25" s="2"/>
      <c r="AG25" s="2"/>
      <c r="AH25" s="2"/>
      <c r="AI25" s="2"/>
      <c r="AJ25" s="2"/>
      <c r="AK25" s="2"/>
      <c r="AL25" s="2"/>
      <c r="AM25" s="2"/>
      <c r="AN25" s="2"/>
      <c r="AO25" s="2"/>
      <c r="AP25" s="2"/>
      <c r="AQ25" s="2"/>
    </row>
    <row r="26" spans="1:43" ht="2.25" customHeight="1">
      <c r="A26" s="2"/>
      <c r="B26" s="4"/>
      <c r="C26" s="180"/>
      <c r="D2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6" s="103"/>
      <c r="F26" s="93"/>
      <c r="G26" s="94"/>
      <c r="H26" s="178"/>
      <c r="I26" s="187"/>
      <c r="J26" s="178"/>
      <c r="K26" s="178"/>
      <c r="L26" s="178"/>
      <c r="M26" s="187"/>
      <c r="N26" s="150"/>
      <c r="O26" s="150"/>
      <c r="P26" s="178"/>
      <c r="Q26" s="178"/>
      <c r="R26" s="150"/>
      <c r="S26" s="150"/>
      <c r="T26" s="178"/>
      <c r="U26" s="178"/>
      <c r="V26" s="150"/>
      <c r="W26" s="150"/>
      <c r="X26" s="178"/>
      <c r="Y26" s="178"/>
      <c r="Z26" s="86"/>
      <c r="AA26" s="1"/>
      <c r="AB26" s="186"/>
      <c r="AC26" s="186"/>
      <c r="AD26" s="55"/>
      <c r="AE26" s="56"/>
      <c r="AF26" s="2"/>
      <c r="AG26" s="2"/>
      <c r="AH26" s="2"/>
      <c r="AI26" s="2"/>
      <c r="AJ26" s="2"/>
      <c r="AK26" s="2"/>
      <c r="AL26" s="2"/>
      <c r="AM26" s="2"/>
      <c r="AN26" s="2"/>
      <c r="AO26" s="2"/>
      <c r="AP26" s="2"/>
      <c r="AQ26" s="2"/>
    </row>
    <row r="27" spans="1:43" ht="2.25" customHeight="1">
      <c r="A27" s="2"/>
      <c r="B27" s="4"/>
      <c r="C27" s="180"/>
      <c r="D2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27" s="103"/>
      <c r="F27" s="93"/>
      <c r="G27" s="94"/>
      <c r="H27" s="178"/>
      <c r="I27" s="187"/>
      <c r="J27" s="178"/>
      <c r="K27" s="178"/>
      <c r="L27" s="178"/>
      <c r="M27" s="187"/>
      <c r="N27" s="150"/>
      <c r="O27" s="150"/>
      <c r="P27" s="178"/>
      <c r="Q27" s="178"/>
      <c r="R27" s="150"/>
      <c r="S27" s="150"/>
      <c r="T27" s="178"/>
      <c r="U27" s="178"/>
      <c r="V27" s="150"/>
      <c r="W27" s="150"/>
      <c r="X27" s="178"/>
      <c r="Y27" s="178"/>
      <c r="Z27" s="86"/>
      <c r="AA27" s="1"/>
      <c r="AB27" s="186"/>
      <c r="AC27" s="186"/>
      <c r="AD27" s="55"/>
      <c r="AE27" s="56"/>
      <c r="AF27" s="2"/>
      <c r="AG27" s="2"/>
      <c r="AH27" s="2"/>
      <c r="AI27" s="2"/>
      <c r="AJ27" s="2"/>
      <c r="AK27" s="2"/>
      <c r="AL27" s="2"/>
      <c r="AM27" s="2"/>
      <c r="AN27" s="2"/>
      <c r="AO27" s="2"/>
      <c r="AP27" s="2"/>
      <c r="AQ27" s="2"/>
    </row>
    <row r="28" spans="1:43" ht="2.25" customHeight="1">
      <c r="A28" s="2"/>
      <c r="B28" s="4"/>
      <c r="C28" s="179"/>
      <c r="D2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8" s="103"/>
      <c r="F28" s="93"/>
      <c r="G28" s="94"/>
      <c r="H28" s="178">
        <f>IF(TYPE(MATCH(20*(ROW()-7)/200,Input!$L$17:$L$36,1))&lt;&gt;16,IF(20*(ROW()-7)/200&gt;MAX(Input!$L$17:$L$36),"",INDEX(Input!$O$17:$O$36,MATCH(20*(ROW()-7)/200,Input!$L$17:$L$36,1)+1)),Input!$O$17)</f>
        <v>2.7749999999999999</v>
      </c>
      <c r="I28" s="187">
        <f>IF(H28="","",INDEX(Input!$G$17:$G$36,MATCH($H28,Input!$O$17:$O$36,0)))</f>
        <v>9</v>
      </c>
      <c r="J28" s="178">
        <f>IF(INDEX(Input!$C$17:$C$36,MATCH($H28,Input!$O$17:$O$36,0))=0,"",INDEX(Input!$C$17:$C$36,MATCH($H28,Input!$O$17:$O$36,0)))</f>
        <v>18.64</v>
      </c>
      <c r="K28" s="178">
        <f>IF(INDEX(Input!$P$17:$P$36,MATCH($H28,Input!$O$17:$O$36,0))=0,"",INDEX(Input!$P$17:$P$36,MATCH($H28,Input!$O$17:$O$36,0)))</f>
        <v>53.507999999999996</v>
      </c>
      <c r="L28" s="178">
        <f>IF(INDEX(Input!$Q$17:$Q$36,MATCH($H28,Input!$O$17:$O$36,0))=0,"",INDEX(Input!$Q$17:$Q$36,MATCH($H28,Input!$O$17:$O$36,0)))</f>
        <v>26.285249999999994</v>
      </c>
      <c r="M28" s="187">
        <f>IF(INDEX(Input!$H$17:$H$36,MATCH($H28,Input!$O$17:$O$36,0))=0,"",INDEX(Input!$H$17:$H$36,MATCH($H28,Input!$O$17:$O$36,0)))</f>
        <v>91</v>
      </c>
      <c r="N28" s="150" t="str">
        <f>INDEX(HBF!$M$3:$M$22,MATCH($H28,Input!$O$17:$O$36,0))</f>
        <v>－</v>
      </c>
      <c r="O28" s="150" t="str">
        <f>INDEX(HBF!$N$3:$N$22,MATCH($H28,Input!$O$17:$O$36,0))</f>
        <v>－</v>
      </c>
      <c r="P28" s="178">
        <f>INDEX(HBF!$O$3:$O$22,MATCH($H28,Input!$O$17:$O$36,0))</f>
        <v>3</v>
      </c>
      <c r="Q28" s="178">
        <f>INDEX(HBF!$P$3:$P$22,MATCH($H28,Input!$O$17:$O$36,0))</f>
        <v>0</v>
      </c>
      <c r="R28" s="150" t="str">
        <f>INDEX(HBF!$F$3:$F$22,MATCH($H28,Input!$O$17:$O$36,0))</f>
        <v>－</v>
      </c>
      <c r="S28" s="150" t="str">
        <f>INDEX(HBF!$H$3:$H$22,MATCH($H28,Input!$O$17:$O$36,0))</f>
        <v>－</v>
      </c>
      <c r="T28" s="178">
        <f>INDEX(HBF!$I$3:$I$22,MATCH($H28,Input!$O$17:$O$36,0))</f>
        <v>3</v>
      </c>
      <c r="U28" s="178">
        <f>INDEX(HBF!$K$3:$K$22,MATCH($H28,Input!$O$17:$O$36,0))</f>
        <v>0</v>
      </c>
      <c r="V28" s="150" t="str">
        <f>INDEX(HBF!$R$3:$R$22,MATCH($H28,Input!$O$17:$O$36,0))</f>
        <v>－</v>
      </c>
      <c r="W28" s="150" t="str">
        <f>INDEX(HBF!$S$3:$S$22,MATCH($H28,Input!$O$17:$O$36,0))</f>
        <v>－</v>
      </c>
      <c r="X28" s="178">
        <f>INDEX(HBF!$T$3:$T$22,MATCH($H28,Input!$O$17:$O$36,0))</f>
        <v>3</v>
      </c>
      <c r="Y28" s="178">
        <f>INDEX(HBF!$U$3:$U$22,MATCH($H28,Input!$O$17:$O$36,0))</f>
        <v>0</v>
      </c>
      <c r="Z28" s="86"/>
      <c r="AA28" s="1"/>
      <c r="AB28" s="186"/>
      <c r="AC28" s="186"/>
      <c r="AD28" s="55"/>
      <c r="AE28" s="56"/>
      <c r="AF28" s="2"/>
      <c r="AG28" s="2"/>
      <c r="AH28" s="2"/>
      <c r="AI28" s="2"/>
      <c r="AJ28" s="2"/>
      <c r="AK28" s="2"/>
      <c r="AL28" s="2"/>
      <c r="AM28" s="2"/>
      <c r="AN28" s="2"/>
      <c r="AO28" s="2"/>
      <c r="AP28" s="2"/>
      <c r="AQ28" s="2"/>
    </row>
    <row r="29" spans="1:43" ht="2.25" customHeight="1">
      <c r="A29" s="2"/>
      <c r="B29" s="4"/>
      <c r="C29" s="180"/>
      <c r="D2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9" s="103"/>
      <c r="F29" s="93"/>
      <c r="G29" s="94"/>
      <c r="H29" s="178"/>
      <c r="I29" s="187"/>
      <c r="J29" s="178"/>
      <c r="K29" s="178"/>
      <c r="L29" s="178"/>
      <c r="M29" s="187"/>
      <c r="N29" s="150"/>
      <c r="O29" s="150"/>
      <c r="P29" s="178"/>
      <c r="Q29" s="178"/>
      <c r="R29" s="150"/>
      <c r="S29" s="150"/>
      <c r="T29" s="178"/>
      <c r="U29" s="178"/>
      <c r="V29" s="150"/>
      <c r="W29" s="150"/>
      <c r="X29" s="178"/>
      <c r="Y29" s="178"/>
      <c r="Z29" s="86"/>
      <c r="AA29" s="1"/>
      <c r="AB29" s="186"/>
      <c r="AC29" s="186"/>
      <c r="AD29" s="55"/>
      <c r="AE29" s="56"/>
      <c r="AF29" s="2"/>
      <c r="AG29" s="2"/>
      <c r="AH29" s="2"/>
      <c r="AI29" s="2"/>
      <c r="AJ29" s="2"/>
      <c r="AK29" s="2"/>
      <c r="AL29" s="2"/>
      <c r="AM29" s="2"/>
      <c r="AN29" s="2"/>
      <c r="AO29" s="2"/>
      <c r="AP29" s="2"/>
      <c r="AQ29" s="2"/>
    </row>
    <row r="30" spans="1:43" ht="2.25" customHeight="1">
      <c r="A30" s="2"/>
      <c r="B30" s="4"/>
      <c r="C30" s="180"/>
      <c r="D3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0" s="103"/>
      <c r="F30" s="93"/>
      <c r="G30" s="94"/>
      <c r="H30" s="178"/>
      <c r="I30" s="187"/>
      <c r="J30" s="178"/>
      <c r="K30" s="178"/>
      <c r="L30" s="178"/>
      <c r="M30" s="187"/>
      <c r="N30" s="150"/>
      <c r="O30" s="150"/>
      <c r="P30" s="178"/>
      <c r="Q30" s="178"/>
      <c r="R30" s="150"/>
      <c r="S30" s="150"/>
      <c r="T30" s="178"/>
      <c r="U30" s="178"/>
      <c r="V30" s="150"/>
      <c r="W30" s="150"/>
      <c r="X30" s="178"/>
      <c r="Y30" s="178"/>
      <c r="Z30" s="86"/>
      <c r="AA30" s="1"/>
      <c r="AB30" s="186"/>
      <c r="AC30" s="186"/>
      <c r="AD30" s="55"/>
      <c r="AE30" s="56"/>
      <c r="AF30" s="2"/>
      <c r="AG30" s="2"/>
      <c r="AH30" s="2"/>
      <c r="AI30" s="2"/>
      <c r="AJ30" s="2"/>
      <c r="AK30" s="2"/>
      <c r="AL30" s="2"/>
      <c r="AM30" s="2"/>
      <c r="AN30" s="2"/>
      <c r="AO30" s="2"/>
      <c r="AP30" s="2"/>
      <c r="AQ30" s="2"/>
    </row>
    <row r="31" spans="1:43" ht="2.25" customHeight="1">
      <c r="A31" s="2"/>
      <c r="B31" s="4"/>
      <c r="C31" s="180"/>
      <c r="D3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1" s="103"/>
      <c r="F31" s="93"/>
      <c r="G31" s="94"/>
      <c r="H31" s="178"/>
      <c r="I31" s="187"/>
      <c r="J31" s="178"/>
      <c r="K31" s="178"/>
      <c r="L31" s="178"/>
      <c r="M31" s="187"/>
      <c r="N31" s="150"/>
      <c r="O31" s="150"/>
      <c r="P31" s="178"/>
      <c r="Q31" s="178"/>
      <c r="R31" s="150"/>
      <c r="S31" s="150"/>
      <c r="T31" s="178"/>
      <c r="U31" s="178"/>
      <c r="V31" s="150"/>
      <c r="W31" s="150"/>
      <c r="X31" s="178"/>
      <c r="Y31" s="178"/>
      <c r="Z31" s="86"/>
      <c r="AA31" s="1"/>
      <c r="AB31" s="186"/>
      <c r="AC31" s="186"/>
      <c r="AD31" s="55"/>
      <c r="AE31" s="56"/>
      <c r="AF31" s="2"/>
      <c r="AG31" s="2"/>
      <c r="AH31" s="2"/>
      <c r="AI31" s="2"/>
      <c r="AJ31" s="2"/>
      <c r="AK31" s="2"/>
      <c r="AL31" s="2"/>
      <c r="AM31" s="2"/>
      <c r="AN31" s="2"/>
      <c r="AO31" s="2"/>
      <c r="AP31" s="2"/>
      <c r="AQ31" s="2"/>
    </row>
    <row r="32" spans="1:43" ht="2.25" customHeight="1">
      <c r="A32" s="2"/>
      <c r="B32" s="4"/>
      <c r="C32" s="179"/>
      <c r="D3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2" s="103"/>
      <c r="F32" s="93"/>
      <c r="G32" s="94"/>
      <c r="H32" s="178"/>
      <c r="I32" s="187"/>
      <c r="J32" s="178"/>
      <c r="K32" s="178"/>
      <c r="L32" s="178"/>
      <c r="M32" s="187"/>
      <c r="N32" s="150"/>
      <c r="O32" s="150"/>
      <c r="P32" s="178"/>
      <c r="Q32" s="178"/>
      <c r="R32" s="150"/>
      <c r="S32" s="150"/>
      <c r="T32" s="178"/>
      <c r="U32" s="178"/>
      <c r="V32" s="150"/>
      <c r="W32" s="150"/>
      <c r="X32" s="178"/>
      <c r="Y32" s="178"/>
      <c r="Z32" s="86"/>
      <c r="AA32" s="1"/>
      <c r="AB32" s="186"/>
      <c r="AC32" s="186"/>
      <c r="AD32" s="55"/>
      <c r="AE32" s="56"/>
      <c r="AF32" s="2"/>
      <c r="AG32" s="2"/>
      <c r="AH32" s="2"/>
      <c r="AI32" s="2"/>
      <c r="AJ32" s="2"/>
      <c r="AK32" s="2"/>
      <c r="AL32" s="2"/>
      <c r="AM32" s="2"/>
      <c r="AN32" s="2"/>
      <c r="AO32" s="2"/>
      <c r="AP32" s="2"/>
      <c r="AQ32" s="2"/>
    </row>
    <row r="33" spans="1:43" ht="2.25" customHeight="1">
      <c r="A33" s="2"/>
      <c r="B33" s="4"/>
      <c r="C33" s="180"/>
      <c r="D3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3" s="103"/>
      <c r="F33" s="93"/>
      <c r="G33" s="94"/>
      <c r="H33" s="178"/>
      <c r="I33" s="187"/>
      <c r="J33" s="178"/>
      <c r="K33" s="178"/>
      <c r="L33" s="178"/>
      <c r="M33" s="187"/>
      <c r="N33" s="150"/>
      <c r="O33" s="150"/>
      <c r="P33" s="178"/>
      <c r="Q33" s="178"/>
      <c r="R33" s="150"/>
      <c r="S33" s="150"/>
      <c r="T33" s="178"/>
      <c r="U33" s="178"/>
      <c r="V33" s="150"/>
      <c r="W33" s="150"/>
      <c r="X33" s="178"/>
      <c r="Y33" s="178"/>
      <c r="Z33" s="86"/>
      <c r="AA33" s="1"/>
      <c r="AB33" s="186"/>
      <c r="AC33" s="186"/>
      <c r="AD33" s="55"/>
      <c r="AE33" s="56"/>
      <c r="AF33" s="2"/>
      <c r="AG33" s="2"/>
      <c r="AH33" s="2"/>
      <c r="AI33" s="2"/>
      <c r="AJ33" s="2"/>
      <c r="AK33" s="2"/>
      <c r="AL33" s="2"/>
      <c r="AM33" s="2"/>
      <c r="AN33" s="2"/>
      <c r="AO33" s="2"/>
      <c r="AP33" s="2"/>
      <c r="AQ33" s="2"/>
    </row>
    <row r="34" spans="1:43" ht="2.25" customHeight="1">
      <c r="A34" s="2"/>
      <c r="B34" s="4"/>
      <c r="C34" s="180"/>
      <c r="D3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4" s="103"/>
      <c r="F34" s="93"/>
      <c r="G34" s="94"/>
      <c r="H34" s="178"/>
      <c r="I34" s="187"/>
      <c r="J34" s="178"/>
      <c r="K34" s="178"/>
      <c r="L34" s="178"/>
      <c r="M34" s="187"/>
      <c r="N34" s="150"/>
      <c r="O34" s="150"/>
      <c r="P34" s="178"/>
      <c r="Q34" s="178"/>
      <c r="R34" s="150"/>
      <c r="S34" s="150"/>
      <c r="T34" s="178"/>
      <c r="U34" s="178"/>
      <c r="V34" s="150"/>
      <c r="W34" s="150"/>
      <c r="X34" s="178"/>
      <c r="Y34" s="178"/>
      <c r="Z34" s="86"/>
      <c r="AA34" s="1"/>
      <c r="AB34" s="186"/>
      <c r="AC34" s="186"/>
      <c r="AD34" s="55"/>
      <c r="AE34" s="56"/>
      <c r="AF34" s="2"/>
      <c r="AG34" s="2"/>
      <c r="AH34" s="2"/>
      <c r="AI34" s="2"/>
      <c r="AJ34" s="2"/>
      <c r="AK34" s="2"/>
      <c r="AL34" s="2"/>
      <c r="AM34" s="2"/>
      <c r="AN34" s="2"/>
      <c r="AO34" s="2"/>
      <c r="AP34" s="2"/>
      <c r="AQ34" s="2"/>
    </row>
    <row r="35" spans="1:43" ht="2.25" customHeight="1">
      <c r="A35" s="2"/>
      <c r="B35" s="4"/>
      <c r="C35" s="180"/>
      <c r="D3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5" s="103"/>
      <c r="F35" s="93"/>
      <c r="G35" s="94"/>
      <c r="H35" s="178"/>
      <c r="I35" s="187"/>
      <c r="J35" s="178"/>
      <c r="K35" s="178"/>
      <c r="L35" s="178"/>
      <c r="M35" s="187"/>
      <c r="N35" s="150"/>
      <c r="O35" s="150"/>
      <c r="P35" s="178"/>
      <c r="Q35" s="178"/>
      <c r="R35" s="150"/>
      <c r="S35" s="150"/>
      <c r="T35" s="178"/>
      <c r="U35" s="178"/>
      <c r="V35" s="150"/>
      <c r="W35" s="150"/>
      <c r="X35" s="178"/>
      <c r="Y35" s="178"/>
      <c r="Z35" s="86"/>
      <c r="AA35" s="1"/>
      <c r="AB35" s="186"/>
      <c r="AC35" s="186"/>
      <c r="AD35" s="55"/>
      <c r="AE35" s="56"/>
      <c r="AF35" s="2"/>
      <c r="AG35" s="2"/>
      <c r="AH35" s="2"/>
      <c r="AI35" s="2"/>
      <c r="AJ35" s="2"/>
      <c r="AK35" s="2"/>
      <c r="AL35" s="2"/>
      <c r="AM35" s="2"/>
      <c r="AN35" s="2"/>
      <c r="AO35" s="2"/>
      <c r="AP35" s="2"/>
      <c r="AQ35" s="2"/>
    </row>
    <row r="36" spans="1:43" ht="2.25" customHeight="1">
      <c r="A36" s="2"/>
      <c r="B36" s="4"/>
      <c r="C36" s="179"/>
      <c r="D3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6" s="103"/>
      <c r="F36" s="93"/>
      <c r="G36" s="94"/>
      <c r="H36" s="178"/>
      <c r="I36" s="187"/>
      <c r="J36" s="178"/>
      <c r="K36" s="178"/>
      <c r="L36" s="178"/>
      <c r="M36" s="187"/>
      <c r="N36" s="150"/>
      <c r="O36" s="150"/>
      <c r="P36" s="178"/>
      <c r="Q36" s="178"/>
      <c r="R36" s="150"/>
      <c r="S36" s="150"/>
      <c r="T36" s="178"/>
      <c r="U36" s="178"/>
      <c r="V36" s="150"/>
      <c r="W36" s="150"/>
      <c r="X36" s="178"/>
      <c r="Y36" s="178"/>
      <c r="Z36" s="86"/>
      <c r="AA36" s="1"/>
      <c r="AB36" s="186"/>
      <c r="AC36" s="186"/>
      <c r="AD36" s="55"/>
      <c r="AE36" s="56"/>
      <c r="AF36" s="2"/>
      <c r="AG36" s="2"/>
      <c r="AH36" s="2"/>
      <c r="AI36" s="2"/>
      <c r="AJ36" s="2"/>
      <c r="AK36" s="2"/>
      <c r="AL36" s="2"/>
      <c r="AM36" s="2"/>
      <c r="AN36" s="2"/>
      <c r="AO36" s="2"/>
      <c r="AP36" s="2"/>
      <c r="AQ36" s="2"/>
    </row>
    <row r="37" spans="1:43" ht="2.25" customHeight="1">
      <c r="A37" s="2"/>
      <c r="B37" s="4"/>
      <c r="C37" s="180"/>
      <c r="D3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7" s="103"/>
      <c r="F37" s="93"/>
      <c r="G37" s="94"/>
      <c r="H37" s="178"/>
      <c r="I37" s="187"/>
      <c r="J37" s="178"/>
      <c r="K37" s="178"/>
      <c r="L37" s="178"/>
      <c r="M37" s="187"/>
      <c r="N37" s="150"/>
      <c r="O37" s="150"/>
      <c r="P37" s="178"/>
      <c r="Q37" s="178"/>
      <c r="R37" s="150"/>
      <c r="S37" s="150"/>
      <c r="T37" s="178"/>
      <c r="U37" s="178"/>
      <c r="V37" s="150"/>
      <c r="W37" s="150"/>
      <c r="X37" s="178"/>
      <c r="Y37" s="178"/>
      <c r="Z37" s="86"/>
      <c r="AA37" s="1"/>
      <c r="AB37" s="186"/>
      <c r="AC37" s="186"/>
      <c r="AD37" s="55"/>
      <c r="AE37" s="56"/>
      <c r="AF37" s="2"/>
      <c r="AG37" s="2"/>
      <c r="AH37" s="2"/>
      <c r="AI37" s="2"/>
      <c r="AJ37" s="2"/>
      <c r="AK37" s="2"/>
      <c r="AL37" s="2"/>
      <c r="AM37" s="2"/>
      <c r="AN37" s="2"/>
      <c r="AO37" s="2"/>
      <c r="AP37" s="2"/>
      <c r="AQ37" s="2"/>
    </row>
    <row r="38" spans="1:43" ht="2.25" customHeight="1">
      <c r="A38" s="2"/>
      <c r="B38" s="4"/>
      <c r="C38" s="180"/>
      <c r="D3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8" s="103"/>
      <c r="F38" s="93"/>
      <c r="G38" s="94"/>
      <c r="H38" s="178"/>
      <c r="I38" s="187"/>
      <c r="J38" s="178"/>
      <c r="K38" s="178"/>
      <c r="L38" s="178"/>
      <c r="M38" s="187"/>
      <c r="N38" s="150"/>
      <c r="O38" s="150"/>
      <c r="P38" s="178"/>
      <c r="Q38" s="178"/>
      <c r="R38" s="150"/>
      <c r="S38" s="150"/>
      <c r="T38" s="178"/>
      <c r="U38" s="178"/>
      <c r="V38" s="150"/>
      <c r="W38" s="150"/>
      <c r="X38" s="178"/>
      <c r="Y38" s="178"/>
      <c r="Z38" s="86"/>
      <c r="AA38" s="1"/>
      <c r="AB38" s="1"/>
      <c r="AC38" s="54"/>
      <c r="AD38" s="55"/>
      <c r="AE38" s="56"/>
      <c r="AF38" s="2"/>
      <c r="AG38" s="2"/>
      <c r="AH38" s="2"/>
      <c r="AI38" s="2"/>
      <c r="AJ38" s="2"/>
      <c r="AK38" s="2"/>
      <c r="AL38" s="2"/>
      <c r="AM38" s="2"/>
      <c r="AN38" s="2"/>
      <c r="AO38" s="2"/>
      <c r="AP38" s="2"/>
      <c r="AQ38" s="2"/>
    </row>
    <row r="39" spans="1:43" ht="2.25" customHeight="1">
      <c r="A39" s="2"/>
      <c r="B39" s="4"/>
      <c r="C39" s="180"/>
      <c r="D3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39" s="103"/>
      <c r="F39" s="93"/>
      <c r="G39" s="94"/>
      <c r="H39" s="178"/>
      <c r="I39" s="187"/>
      <c r="J39" s="178"/>
      <c r="K39" s="178"/>
      <c r="L39" s="178"/>
      <c r="M39" s="187"/>
      <c r="N39" s="150"/>
      <c r="O39" s="150"/>
      <c r="P39" s="178"/>
      <c r="Q39" s="178"/>
      <c r="R39" s="150"/>
      <c r="S39" s="150"/>
      <c r="T39" s="178"/>
      <c r="U39" s="178"/>
      <c r="V39" s="150"/>
      <c r="W39" s="150"/>
      <c r="X39" s="178"/>
      <c r="Y39" s="178"/>
      <c r="Z39" s="86"/>
      <c r="AA39" s="1"/>
      <c r="AB39" s="1"/>
      <c r="AC39" s="54"/>
      <c r="AD39" s="55"/>
      <c r="AE39" s="56"/>
      <c r="AF39" s="2"/>
      <c r="AG39" s="2"/>
      <c r="AH39" s="2"/>
      <c r="AI39" s="2"/>
      <c r="AJ39" s="2"/>
      <c r="AK39" s="2"/>
      <c r="AL39" s="2"/>
      <c r="AM39" s="2"/>
      <c r="AN39" s="2"/>
      <c r="AO39" s="2"/>
      <c r="AP39" s="2"/>
      <c r="AQ39" s="2"/>
    </row>
    <row r="40" spans="1:43" ht="2.25" customHeight="1">
      <c r="A40" s="2"/>
      <c r="B40" s="4"/>
      <c r="C40" s="179"/>
      <c r="D4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40" s="103"/>
      <c r="F40" s="93"/>
      <c r="G40" s="94"/>
      <c r="H40" s="178"/>
      <c r="I40" s="187"/>
      <c r="J40" s="178"/>
      <c r="K40" s="178"/>
      <c r="L40" s="178"/>
      <c r="M40" s="187"/>
      <c r="N40" s="150"/>
      <c r="O40" s="150"/>
      <c r="P40" s="178"/>
      <c r="Q40" s="178"/>
      <c r="R40" s="150"/>
      <c r="S40" s="150"/>
      <c r="T40" s="178"/>
      <c r="U40" s="178"/>
      <c r="V40" s="150"/>
      <c r="W40" s="150"/>
      <c r="X40" s="178"/>
      <c r="Y40" s="178"/>
      <c r="Z40" s="86"/>
      <c r="AA40" s="1"/>
      <c r="AB40" s="1"/>
      <c r="AC40" s="54"/>
      <c r="AD40" s="55"/>
      <c r="AE40" s="56"/>
      <c r="AF40" s="2"/>
      <c r="AG40" s="2"/>
      <c r="AH40" s="2"/>
      <c r="AI40" s="2"/>
      <c r="AJ40" s="2"/>
      <c r="AK40" s="2"/>
      <c r="AL40" s="2"/>
      <c r="AM40" s="2"/>
      <c r="AN40" s="2"/>
      <c r="AO40" s="2"/>
      <c r="AP40" s="2"/>
      <c r="AQ40" s="2"/>
    </row>
    <row r="41" spans="1:43" ht="2.25" customHeight="1">
      <c r="A41" s="2"/>
      <c r="B41" s="4"/>
      <c r="C41" s="180"/>
      <c r="D4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41" s="103"/>
      <c r="F41" s="93"/>
      <c r="G41" s="94"/>
      <c r="H41" s="178"/>
      <c r="I41" s="187"/>
      <c r="J41" s="178"/>
      <c r="K41" s="178"/>
      <c r="L41" s="178"/>
      <c r="M41" s="187"/>
      <c r="N41" s="150"/>
      <c r="O41" s="150"/>
      <c r="P41" s="178"/>
      <c r="Q41" s="178"/>
      <c r="R41" s="150"/>
      <c r="S41" s="150"/>
      <c r="T41" s="178"/>
      <c r="U41" s="178"/>
      <c r="V41" s="150"/>
      <c r="W41" s="150"/>
      <c r="X41" s="178"/>
      <c r="Y41" s="178"/>
      <c r="Z41" s="86"/>
      <c r="AA41" s="1"/>
      <c r="AB41" s="1"/>
      <c r="AC41" s="54"/>
      <c r="AD41" s="55"/>
      <c r="AE41" s="56"/>
      <c r="AF41" s="2"/>
      <c r="AG41" s="2"/>
      <c r="AH41" s="2"/>
      <c r="AI41" s="2"/>
      <c r="AJ41" s="2"/>
      <c r="AK41" s="2"/>
      <c r="AL41" s="2"/>
      <c r="AM41" s="2"/>
      <c r="AN41" s="2"/>
      <c r="AO41" s="2"/>
      <c r="AP41" s="2"/>
      <c r="AQ41" s="2"/>
    </row>
    <row r="42" spans="1:43" ht="2.25" customHeight="1">
      <c r="A42" s="2"/>
      <c r="B42" s="4"/>
      <c r="C42" s="180"/>
      <c r="D4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42" s="103"/>
      <c r="F42" s="93"/>
      <c r="G42" s="94"/>
      <c r="H42" s="178"/>
      <c r="I42" s="187"/>
      <c r="J42" s="178"/>
      <c r="K42" s="178"/>
      <c r="L42" s="178"/>
      <c r="M42" s="187"/>
      <c r="N42" s="150"/>
      <c r="O42" s="150"/>
      <c r="P42" s="178"/>
      <c r="Q42" s="178"/>
      <c r="R42" s="150"/>
      <c r="S42" s="150"/>
      <c r="T42" s="178"/>
      <c r="U42" s="178"/>
      <c r="V42" s="150"/>
      <c r="W42" s="150"/>
      <c r="X42" s="178"/>
      <c r="Y42" s="178"/>
      <c r="Z42" s="86"/>
      <c r="AA42" s="1"/>
      <c r="AB42" s="1"/>
      <c r="AC42" s="54"/>
      <c r="AD42" s="55"/>
      <c r="AE42" s="56"/>
      <c r="AF42" s="2"/>
      <c r="AG42" s="2"/>
      <c r="AH42" s="2"/>
      <c r="AI42" s="2"/>
      <c r="AJ42" s="2"/>
      <c r="AK42" s="2"/>
      <c r="AL42" s="2"/>
      <c r="AM42" s="2"/>
      <c r="AN42" s="2"/>
      <c r="AO42" s="2"/>
      <c r="AP42" s="2"/>
      <c r="AQ42" s="2"/>
    </row>
    <row r="43" spans="1:43" ht="2.25" customHeight="1">
      <c r="A43" s="2"/>
      <c r="B43" s="4"/>
      <c r="C43" s="180"/>
      <c r="D4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3" s="103"/>
      <c r="F43" s="93"/>
      <c r="G43" s="94"/>
      <c r="H43" s="178">
        <f>IF(TYPE(MATCH(20*(ROW()-7)/200,Input!$L$17:$L$36,1))&lt;&gt;16,IF(20*(ROW()-7)/200&gt;MAX(Input!$L$17:$L$36),"",INDEX(Input!$O$17:$O$36,MATCH(20*(ROW()-7)/200,Input!$L$17:$L$36,1)+1)),Input!$O$17)</f>
        <v>4.2750000000000004</v>
      </c>
      <c r="I43" s="187">
        <f>IF(H43="","",INDEX(Input!$G$17:$G$36,MATCH($H43,Input!$O$17:$O$36,0)))</f>
        <v>20</v>
      </c>
      <c r="J43" s="178">
        <f>IF(INDEX(Input!$C$17:$C$36,MATCH($H43,Input!$O$17:$O$36,0))=0,"",INDEX(Input!$C$17:$C$36,MATCH($H43,Input!$O$17:$O$36,0)))</f>
        <v>19.03</v>
      </c>
      <c r="K43" s="178">
        <f>IF(INDEX(Input!$P$17:$P$36,MATCH($H43,Input!$O$17:$O$36,0))=0,"",INDEX(Input!$P$17:$P$36,MATCH($H43,Input!$O$17:$O$36,0)))</f>
        <v>81.760500000000008</v>
      </c>
      <c r="L43" s="178">
        <f>IF(INDEX(Input!$Q$17:$Q$36,MATCH($H43,Input!$O$17:$O$36,0))=0,"",INDEX(Input!$Q$17:$Q$36,MATCH($H43,Input!$O$17:$O$36,0)))</f>
        <v>39.822749999999999</v>
      </c>
      <c r="M43" s="187">
        <f>IF(INDEX(Input!$H$17:$H$36,MATCH($H43,Input!$O$17:$O$36,0))=0,"",INDEX(Input!$H$17:$H$36,MATCH($H43,Input!$O$17:$O$36,0)))</f>
        <v>14</v>
      </c>
      <c r="N43" s="150" t="str">
        <f>INDEX(HBF!$M$3:$M$22,MATCH($H43,Input!$O$17:$O$36,0))</f>
        <v>－</v>
      </c>
      <c r="O43" s="150" t="str">
        <f>INDEX(HBF!$N$3:$N$22,MATCH($H43,Input!$O$17:$O$36,0))</f>
        <v>－</v>
      </c>
      <c r="P43" s="178">
        <f>INDEX(HBF!$O$3:$O$22,MATCH($H43,Input!$O$17:$O$36,0))</f>
        <v>3</v>
      </c>
      <c r="Q43" s="178">
        <f>INDEX(HBF!$P$3:$P$22,MATCH($H43,Input!$O$17:$O$36,0))</f>
        <v>0</v>
      </c>
      <c r="R43" s="150" t="str">
        <f>INDEX(HBF!$F$3:$F$22,MATCH($H43,Input!$O$17:$O$36,0))</f>
        <v>－</v>
      </c>
      <c r="S43" s="150" t="str">
        <f>INDEX(HBF!$H$3:$H$22,MATCH($H43,Input!$O$17:$O$36,0))</f>
        <v>－</v>
      </c>
      <c r="T43" s="178">
        <f>INDEX(HBF!$I$3:$I$22,MATCH($H43,Input!$O$17:$O$36,0))</f>
        <v>3</v>
      </c>
      <c r="U43" s="178">
        <f>INDEX(HBF!$K$3:$K$22,MATCH($H43,Input!$O$17:$O$36,0))</f>
        <v>0</v>
      </c>
      <c r="V43" s="150" t="str">
        <f>INDEX(HBF!$R$3:$R$22,MATCH($H43,Input!$O$17:$O$36,0))</f>
        <v>－</v>
      </c>
      <c r="W43" s="150" t="str">
        <f>INDEX(HBF!$S$3:$S$22,MATCH($H43,Input!$O$17:$O$36,0))</f>
        <v>－</v>
      </c>
      <c r="X43" s="178">
        <f>INDEX(HBF!$T$3:$T$22,MATCH($H43,Input!$O$17:$O$36,0))</f>
        <v>3</v>
      </c>
      <c r="Y43" s="178">
        <f>INDEX(HBF!$U$3:$U$22,MATCH($H43,Input!$O$17:$O$36,0))</f>
        <v>0</v>
      </c>
      <c r="Z43" s="86"/>
      <c r="AA43" s="1"/>
      <c r="AB43" s="1"/>
      <c r="AC43" s="54"/>
      <c r="AD43" s="55"/>
      <c r="AE43" s="56"/>
      <c r="AF43" s="2"/>
      <c r="AG43" s="2"/>
      <c r="AH43" s="2"/>
      <c r="AI43" s="2"/>
      <c r="AJ43" s="2"/>
      <c r="AK43" s="2"/>
      <c r="AL43" s="2"/>
      <c r="AM43" s="2"/>
      <c r="AN43" s="2"/>
      <c r="AO43" s="2"/>
      <c r="AP43" s="2"/>
      <c r="AQ43" s="2"/>
    </row>
    <row r="44" spans="1:43" ht="2.25" customHeight="1">
      <c r="A44" s="2"/>
      <c r="B44" s="4"/>
      <c r="C44" s="179"/>
      <c r="D4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4" s="103"/>
      <c r="F44" s="93"/>
      <c r="G44" s="94"/>
      <c r="H44" s="178"/>
      <c r="I44" s="187"/>
      <c r="J44" s="178"/>
      <c r="K44" s="178"/>
      <c r="L44" s="178"/>
      <c r="M44" s="187"/>
      <c r="N44" s="150"/>
      <c r="O44" s="150"/>
      <c r="P44" s="178"/>
      <c r="Q44" s="178"/>
      <c r="R44" s="150"/>
      <c r="S44" s="150"/>
      <c r="T44" s="178"/>
      <c r="U44" s="178"/>
      <c r="V44" s="150"/>
      <c r="W44" s="150"/>
      <c r="X44" s="178"/>
      <c r="Y44" s="178"/>
      <c r="Z44" s="86"/>
      <c r="AA44" s="1"/>
      <c r="AB44" s="1"/>
      <c r="AC44" s="54"/>
      <c r="AD44" s="55"/>
      <c r="AE44" s="56"/>
      <c r="AF44" s="2"/>
      <c r="AG44" s="2"/>
      <c r="AH44" s="2"/>
      <c r="AI44" s="2"/>
      <c r="AJ44" s="2"/>
      <c r="AK44" s="2"/>
      <c r="AL44" s="2"/>
      <c r="AM44" s="2"/>
      <c r="AN44" s="2"/>
      <c r="AO44" s="2"/>
      <c r="AP44" s="2"/>
      <c r="AQ44" s="2"/>
    </row>
    <row r="45" spans="1:43" ht="2.25" customHeight="1">
      <c r="A45" s="2"/>
      <c r="B45" s="4"/>
      <c r="C45" s="180"/>
      <c r="D4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5" s="103"/>
      <c r="F45" s="93"/>
      <c r="G45" s="94"/>
      <c r="H45" s="178"/>
      <c r="I45" s="187"/>
      <c r="J45" s="178"/>
      <c r="K45" s="178"/>
      <c r="L45" s="178"/>
      <c r="M45" s="187"/>
      <c r="N45" s="150"/>
      <c r="O45" s="150"/>
      <c r="P45" s="178"/>
      <c r="Q45" s="178"/>
      <c r="R45" s="150"/>
      <c r="S45" s="150"/>
      <c r="T45" s="178"/>
      <c r="U45" s="178"/>
      <c r="V45" s="150"/>
      <c r="W45" s="150"/>
      <c r="X45" s="178"/>
      <c r="Y45" s="178"/>
      <c r="Z45" s="86"/>
      <c r="AA45" s="1"/>
      <c r="AB45" s="1"/>
      <c r="AC45" s="54"/>
      <c r="AD45" s="55"/>
      <c r="AE45" s="56"/>
      <c r="AF45" s="2"/>
      <c r="AG45" s="2"/>
      <c r="AH45" s="2"/>
      <c r="AI45" s="2"/>
      <c r="AJ45" s="2"/>
      <c r="AK45" s="2"/>
      <c r="AL45" s="2"/>
      <c r="AM45" s="2"/>
      <c r="AN45" s="2"/>
      <c r="AO45" s="2"/>
      <c r="AP45" s="2"/>
      <c r="AQ45" s="2"/>
    </row>
    <row r="46" spans="1:43" ht="2.25" customHeight="1">
      <c r="A46" s="2"/>
      <c r="B46" s="4"/>
      <c r="C46" s="180"/>
      <c r="D4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6" s="103"/>
      <c r="F46" s="93"/>
      <c r="G46" s="94"/>
      <c r="H46" s="178"/>
      <c r="I46" s="187"/>
      <c r="J46" s="178"/>
      <c r="K46" s="178"/>
      <c r="L46" s="178"/>
      <c r="M46" s="187"/>
      <c r="N46" s="150"/>
      <c r="O46" s="150"/>
      <c r="P46" s="178"/>
      <c r="Q46" s="178"/>
      <c r="R46" s="150"/>
      <c r="S46" s="150"/>
      <c r="T46" s="178"/>
      <c r="U46" s="178"/>
      <c r="V46" s="150"/>
      <c r="W46" s="150"/>
      <c r="X46" s="178"/>
      <c r="Y46" s="178"/>
      <c r="Z46" s="86"/>
      <c r="AA46" s="1"/>
      <c r="AB46" s="1"/>
      <c r="AC46" s="54"/>
      <c r="AD46" s="55"/>
      <c r="AE46" s="56"/>
      <c r="AF46" s="2"/>
      <c r="AG46" s="2"/>
      <c r="AH46" s="2"/>
      <c r="AI46" s="2"/>
      <c r="AJ46" s="2"/>
      <c r="AK46" s="2"/>
      <c r="AL46" s="2"/>
      <c r="AM46" s="2"/>
      <c r="AN46" s="2"/>
      <c r="AO46" s="2"/>
      <c r="AP46" s="2"/>
      <c r="AQ46" s="2"/>
    </row>
    <row r="47" spans="1:43" ht="2.25" customHeight="1">
      <c r="A47" s="2"/>
      <c r="B47" s="4"/>
      <c r="C47" s="180"/>
      <c r="D4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7" s="103"/>
      <c r="F47" s="93"/>
      <c r="G47" s="94"/>
      <c r="H47" s="178"/>
      <c r="I47" s="187"/>
      <c r="J47" s="178"/>
      <c r="K47" s="178"/>
      <c r="L47" s="178"/>
      <c r="M47" s="187"/>
      <c r="N47" s="150"/>
      <c r="O47" s="150"/>
      <c r="P47" s="178"/>
      <c r="Q47" s="178"/>
      <c r="R47" s="150"/>
      <c r="S47" s="150"/>
      <c r="T47" s="178"/>
      <c r="U47" s="178"/>
      <c r="V47" s="150"/>
      <c r="W47" s="150"/>
      <c r="X47" s="178"/>
      <c r="Y47" s="178"/>
      <c r="Z47" s="86"/>
      <c r="AA47" s="1"/>
      <c r="AB47" s="1"/>
      <c r="AC47" s="54"/>
      <c r="AD47" s="55"/>
      <c r="AE47" s="56"/>
      <c r="AF47" s="2"/>
      <c r="AG47" s="2"/>
      <c r="AH47" s="2"/>
      <c r="AI47" s="2"/>
      <c r="AJ47" s="2"/>
      <c r="AK47" s="2"/>
      <c r="AL47" s="2"/>
      <c r="AM47" s="2"/>
      <c r="AN47" s="2"/>
      <c r="AO47" s="2"/>
      <c r="AP47" s="2"/>
      <c r="AQ47" s="2"/>
    </row>
    <row r="48" spans="1:43" ht="2.25" customHeight="1">
      <c r="A48" s="2"/>
      <c r="B48" s="4"/>
      <c r="C48" s="179"/>
      <c r="D4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8" s="103"/>
      <c r="F48" s="93"/>
      <c r="G48" s="94"/>
      <c r="H48" s="178"/>
      <c r="I48" s="187"/>
      <c r="J48" s="178"/>
      <c r="K48" s="178"/>
      <c r="L48" s="178"/>
      <c r="M48" s="187"/>
      <c r="N48" s="150"/>
      <c r="O48" s="150"/>
      <c r="P48" s="178"/>
      <c r="Q48" s="178"/>
      <c r="R48" s="150"/>
      <c r="S48" s="150"/>
      <c r="T48" s="178"/>
      <c r="U48" s="178"/>
      <c r="V48" s="150"/>
      <c r="W48" s="150"/>
      <c r="X48" s="178"/>
      <c r="Y48" s="178"/>
      <c r="Z48" s="86"/>
      <c r="AA48" s="1"/>
      <c r="AB48" s="1"/>
      <c r="AC48" s="54"/>
      <c r="AD48" s="55"/>
      <c r="AE48" s="56"/>
      <c r="AF48" s="2"/>
      <c r="AG48" s="2"/>
      <c r="AH48" s="2"/>
      <c r="AI48" s="2"/>
      <c r="AJ48" s="2"/>
      <c r="AK48" s="2"/>
      <c r="AL48" s="2"/>
      <c r="AM48" s="2"/>
      <c r="AN48" s="2"/>
      <c r="AO48" s="2"/>
      <c r="AP48" s="2"/>
      <c r="AQ48" s="2"/>
    </row>
    <row r="49" spans="1:43" ht="2.25" customHeight="1">
      <c r="A49" s="2"/>
      <c r="B49" s="4"/>
      <c r="C49" s="180"/>
      <c r="D4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49" s="103"/>
      <c r="F49" s="93"/>
      <c r="G49" s="94"/>
      <c r="H49" s="178"/>
      <c r="I49" s="187"/>
      <c r="J49" s="178"/>
      <c r="K49" s="178"/>
      <c r="L49" s="178"/>
      <c r="M49" s="187"/>
      <c r="N49" s="150"/>
      <c r="O49" s="150"/>
      <c r="P49" s="178"/>
      <c r="Q49" s="178"/>
      <c r="R49" s="150"/>
      <c r="S49" s="150"/>
      <c r="T49" s="178"/>
      <c r="U49" s="178"/>
      <c r="V49" s="150"/>
      <c r="W49" s="150"/>
      <c r="X49" s="178"/>
      <c r="Y49" s="178"/>
      <c r="Z49" s="86"/>
      <c r="AA49" s="1"/>
      <c r="AB49" s="1"/>
      <c r="AC49" s="54"/>
      <c r="AD49" s="55"/>
      <c r="AE49" s="56"/>
      <c r="AF49" s="2"/>
      <c r="AG49" s="2"/>
      <c r="AH49" s="2"/>
      <c r="AI49" s="2"/>
      <c r="AJ49" s="2"/>
      <c r="AK49" s="2"/>
      <c r="AL49" s="2"/>
      <c r="AM49" s="2"/>
      <c r="AN49" s="2"/>
      <c r="AO49" s="2"/>
      <c r="AP49" s="2"/>
      <c r="AQ49" s="2"/>
    </row>
    <row r="50" spans="1:43" ht="2.25" customHeight="1">
      <c r="A50" s="2"/>
      <c r="B50" s="4"/>
      <c r="C50" s="180"/>
      <c r="D5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0" s="103"/>
      <c r="F50" s="93"/>
      <c r="G50" s="94"/>
      <c r="H50" s="178"/>
      <c r="I50" s="187"/>
      <c r="J50" s="178"/>
      <c r="K50" s="178"/>
      <c r="L50" s="178"/>
      <c r="M50" s="187"/>
      <c r="N50" s="150"/>
      <c r="O50" s="150"/>
      <c r="P50" s="178"/>
      <c r="Q50" s="178"/>
      <c r="R50" s="150"/>
      <c r="S50" s="150"/>
      <c r="T50" s="178"/>
      <c r="U50" s="178"/>
      <c r="V50" s="150"/>
      <c r="W50" s="150"/>
      <c r="X50" s="178"/>
      <c r="Y50" s="178"/>
      <c r="Z50" s="86"/>
      <c r="AA50" s="1"/>
      <c r="AB50" s="1"/>
      <c r="AC50" s="54"/>
      <c r="AD50" s="55"/>
      <c r="AE50" s="56"/>
      <c r="AF50" s="2"/>
      <c r="AG50" s="2"/>
      <c r="AH50" s="2"/>
      <c r="AI50" s="2"/>
      <c r="AJ50" s="2"/>
      <c r="AK50" s="2"/>
      <c r="AL50" s="2"/>
      <c r="AM50" s="2"/>
      <c r="AN50" s="2"/>
      <c r="AO50" s="2"/>
      <c r="AP50" s="2"/>
      <c r="AQ50" s="2"/>
    </row>
    <row r="51" spans="1:43" ht="2.25" customHeight="1">
      <c r="A51" s="2"/>
      <c r="B51" s="4"/>
      <c r="C51" s="180"/>
      <c r="D5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1" s="103"/>
      <c r="F51" s="93"/>
      <c r="G51" s="94"/>
      <c r="H51" s="178"/>
      <c r="I51" s="187"/>
      <c r="J51" s="178"/>
      <c r="K51" s="178"/>
      <c r="L51" s="178"/>
      <c r="M51" s="187"/>
      <c r="N51" s="150"/>
      <c r="O51" s="150"/>
      <c r="P51" s="178"/>
      <c r="Q51" s="178"/>
      <c r="R51" s="150"/>
      <c r="S51" s="150"/>
      <c r="T51" s="178"/>
      <c r="U51" s="178"/>
      <c r="V51" s="150"/>
      <c r="W51" s="150"/>
      <c r="X51" s="178"/>
      <c r="Y51" s="178"/>
      <c r="Z51" s="86"/>
      <c r="AA51" s="1"/>
      <c r="AB51" s="1"/>
      <c r="AC51" s="54"/>
      <c r="AD51" s="55"/>
      <c r="AE51" s="56"/>
      <c r="AF51" s="2"/>
      <c r="AG51" s="2"/>
      <c r="AH51" s="2"/>
      <c r="AI51" s="2"/>
      <c r="AJ51" s="2"/>
      <c r="AK51" s="2"/>
      <c r="AL51" s="2"/>
      <c r="AM51" s="2"/>
      <c r="AN51" s="2"/>
      <c r="AO51" s="2"/>
      <c r="AP51" s="2"/>
      <c r="AQ51" s="2"/>
    </row>
    <row r="52" spans="1:43" ht="2.25" customHeight="1">
      <c r="A52" s="2"/>
      <c r="B52" s="4"/>
      <c r="C52" s="179"/>
      <c r="D5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2" s="103"/>
      <c r="F52" s="93"/>
      <c r="G52" s="94"/>
      <c r="H52" s="178"/>
      <c r="I52" s="187"/>
      <c r="J52" s="178"/>
      <c r="K52" s="178"/>
      <c r="L52" s="178"/>
      <c r="M52" s="187"/>
      <c r="N52" s="150"/>
      <c r="O52" s="150"/>
      <c r="P52" s="178"/>
      <c r="Q52" s="178"/>
      <c r="R52" s="150"/>
      <c r="S52" s="150"/>
      <c r="T52" s="178"/>
      <c r="U52" s="178"/>
      <c r="V52" s="150"/>
      <c r="W52" s="150"/>
      <c r="X52" s="178"/>
      <c r="Y52" s="178"/>
      <c r="Z52" s="86"/>
      <c r="AA52" s="1"/>
      <c r="AB52" s="1"/>
      <c r="AC52" s="54"/>
      <c r="AD52" s="55"/>
      <c r="AE52" s="56"/>
      <c r="AF52" s="2"/>
      <c r="AG52" s="2"/>
      <c r="AH52" s="2"/>
      <c r="AI52" s="2"/>
      <c r="AJ52" s="2"/>
      <c r="AK52" s="2"/>
      <c r="AL52" s="2"/>
      <c r="AM52" s="2"/>
      <c r="AN52" s="2"/>
      <c r="AO52" s="2"/>
      <c r="AP52" s="2"/>
      <c r="AQ52" s="2"/>
    </row>
    <row r="53" spans="1:43" ht="2.25" customHeight="1">
      <c r="A53" s="2"/>
      <c r="B53" s="4"/>
      <c r="C53" s="180"/>
      <c r="D5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3" s="103"/>
      <c r="F53" s="93"/>
      <c r="G53" s="94"/>
      <c r="H53" s="178"/>
      <c r="I53" s="187"/>
      <c r="J53" s="178"/>
      <c r="K53" s="178"/>
      <c r="L53" s="178"/>
      <c r="M53" s="187"/>
      <c r="N53" s="150"/>
      <c r="O53" s="150"/>
      <c r="P53" s="178"/>
      <c r="Q53" s="178"/>
      <c r="R53" s="150"/>
      <c r="S53" s="150"/>
      <c r="T53" s="178"/>
      <c r="U53" s="178"/>
      <c r="V53" s="150"/>
      <c r="W53" s="150"/>
      <c r="X53" s="178"/>
      <c r="Y53" s="178"/>
      <c r="Z53" s="86"/>
      <c r="AA53" s="1"/>
      <c r="AB53" s="1"/>
      <c r="AC53" s="54"/>
      <c r="AD53" s="55"/>
      <c r="AE53" s="56"/>
      <c r="AF53" s="2"/>
      <c r="AG53" s="2"/>
      <c r="AH53" s="2"/>
      <c r="AI53" s="2"/>
      <c r="AJ53" s="2"/>
      <c r="AK53" s="2"/>
      <c r="AL53" s="2"/>
      <c r="AM53" s="2"/>
      <c r="AN53" s="2"/>
      <c r="AO53" s="2"/>
      <c r="AP53" s="2"/>
      <c r="AQ53" s="2"/>
    </row>
    <row r="54" spans="1:43" ht="2.25" customHeight="1">
      <c r="A54" s="2"/>
      <c r="B54" s="4"/>
      <c r="C54" s="180"/>
      <c r="D5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4" s="103"/>
      <c r="F54" s="93"/>
      <c r="G54" s="94"/>
      <c r="H54" s="178"/>
      <c r="I54" s="187"/>
      <c r="J54" s="178"/>
      <c r="K54" s="178"/>
      <c r="L54" s="178"/>
      <c r="M54" s="187"/>
      <c r="N54" s="150"/>
      <c r="O54" s="150"/>
      <c r="P54" s="178"/>
      <c r="Q54" s="178"/>
      <c r="R54" s="150"/>
      <c r="S54" s="150"/>
      <c r="T54" s="178"/>
      <c r="U54" s="178"/>
      <c r="V54" s="150"/>
      <c r="W54" s="150"/>
      <c r="X54" s="178"/>
      <c r="Y54" s="178"/>
      <c r="Z54" s="86"/>
      <c r="AA54" s="1"/>
      <c r="AB54" s="1"/>
      <c r="AC54" s="54"/>
      <c r="AD54" s="55"/>
      <c r="AE54" s="56"/>
      <c r="AF54" s="2"/>
      <c r="AG54" s="2"/>
      <c r="AH54" s="2"/>
      <c r="AI54" s="2"/>
      <c r="AJ54" s="2"/>
      <c r="AK54" s="2"/>
      <c r="AL54" s="2"/>
      <c r="AM54" s="2"/>
      <c r="AN54" s="2"/>
      <c r="AO54" s="2"/>
      <c r="AP54" s="2"/>
      <c r="AQ54" s="2"/>
    </row>
    <row r="55" spans="1:43" ht="2.25" customHeight="1">
      <c r="A55" s="2"/>
      <c r="B55" s="4"/>
      <c r="C55" s="180"/>
      <c r="D5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5" s="103"/>
      <c r="F55" s="93"/>
      <c r="G55" s="94"/>
      <c r="H55" s="178"/>
      <c r="I55" s="187"/>
      <c r="J55" s="178"/>
      <c r="K55" s="178"/>
      <c r="L55" s="178"/>
      <c r="M55" s="187"/>
      <c r="N55" s="150"/>
      <c r="O55" s="150"/>
      <c r="P55" s="178"/>
      <c r="Q55" s="178"/>
      <c r="R55" s="150"/>
      <c r="S55" s="150"/>
      <c r="T55" s="178"/>
      <c r="U55" s="178"/>
      <c r="V55" s="150"/>
      <c r="W55" s="150"/>
      <c r="X55" s="178"/>
      <c r="Y55" s="178"/>
      <c r="Z55" s="86"/>
      <c r="AA55" s="1"/>
      <c r="AB55" s="1"/>
      <c r="AC55" s="54"/>
      <c r="AD55" s="55"/>
      <c r="AE55" s="56"/>
      <c r="AF55" s="2"/>
      <c r="AG55" s="2"/>
      <c r="AH55" s="2"/>
      <c r="AI55" s="2"/>
      <c r="AJ55" s="2"/>
      <c r="AK55" s="2"/>
      <c r="AL55" s="2"/>
      <c r="AM55" s="2"/>
      <c r="AN55" s="2"/>
      <c r="AO55" s="2"/>
      <c r="AP55" s="2"/>
      <c r="AQ55" s="2"/>
    </row>
    <row r="56" spans="1:43" ht="2.25" customHeight="1">
      <c r="A56" s="2"/>
      <c r="B56" s="4"/>
      <c r="C56" s="179"/>
      <c r="D5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6" s="103"/>
      <c r="F56" s="93"/>
      <c r="G56" s="94"/>
      <c r="H56" s="178"/>
      <c r="I56" s="187"/>
      <c r="J56" s="178"/>
      <c r="K56" s="178"/>
      <c r="L56" s="178"/>
      <c r="M56" s="187"/>
      <c r="N56" s="150"/>
      <c r="O56" s="150"/>
      <c r="P56" s="178"/>
      <c r="Q56" s="178"/>
      <c r="R56" s="150"/>
      <c r="S56" s="150"/>
      <c r="T56" s="178"/>
      <c r="U56" s="178"/>
      <c r="V56" s="150"/>
      <c r="W56" s="150"/>
      <c r="X56" s="178"/>
      <c r="Y56" s="178"/>
      <c r="Z56" s="86"/>
      <c r="AA56" s="1"/>
      <c r="AB56" s="1"/>
      <c r="AC56" s="54"/>
      <c r="AD56" s="55"/>
      <c r="AE56" s="56"/>
      <c r="AF56" s="2"/>
      <c r="AG56" s="2"/>
      <c r="AH56" s="2"/>
      <c r="AI56" s="2"/>
      <c r="AJ56" s="2"/>
      <c r="AK56" s="2"/>
      <c r="AL56" s="2"/>
      <c r="AM56" s="2"/>
      <c r="AN56" s="2"/>
      <c r="AO56" s="2"/>
      <c r="AP56" s="2"/>
      <c r="AQ56" s="2"/>
    </row>
    <row r="57" spans="1:43" ht="2.25" customHeight="1">
      <c r="A57" s="2"/>
      <c r="B57" s="4"/>
      <c r="C57" s="180"/>
      <c r="D5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7" s="103"/>
      <c r="F57" s="93"/>
      <c r="G57" s="94"/>
      <c r="H57" s="178"/>
      <c r="I57" s="187"/>
      <c r="J57" s="178"/>
      <c r="K57" s="178"/>
      <c r="L57" s="178"/>
      <c r="M57" s="187"/>
      <c r="N57" s="150"/>
      <c r="O57" s="150"/>
      <c r="P57" s="178"/>
      <c r="Q57" s="178"/>
      <c r="R57" s="150"/>
      <c r="S57" s="150"/>
      <c r="T57" s="178"/>
      <c r="U57" s="178"/>
      <c r="V57" s="150"/>
      <c r="W57" s="150"/>
      <c r="X57" s="178"/>
      <c r="Y57" s="178"/>
      <c r="Z57" s="86"/>
      <c r="AA57" s="1"/>
      <c r="AB57" s="1"/>
      <c r="AC57" s="54"/>
      <c r="AD57" s="55"/>
      <c r="AE57" s="56"/>
      <c r="AF57" s="2"/>
      <c r="AG57" s="2"/>
      <c r="AH57" s="2"/>
      <c r="AI57" s="2"/>
      <c r="AJ57" s="2"/>
      <c r="AK57" s="2"/>
      <c r="AL57" s="2"/>
      <c r="AM57" s="2"/>
      <c r="AN57" s="2"/>
      <c r="AO57" s="2"/>
      <c r="AP57" s="2"/>
      <c r="AQ57" s="2"/>
    </row>
    <row r="58" spans="1:43" ht="2.25" customHeight="1">
      <c r="A58" s="2"/>
      <c r="B58" s="4"/>
      <c r="C58" s="180"/>
      <c r="D5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8" s="103"/>
      <c r="F58" s="93"/>
      <c r="G58" s="94"/>
      <c r="H58" s="178">
        <f>IF(TYPE(MATCH(20*(ROW()-7)/200,Input!$L$17:$L$36,1))&lt;&gt;16,IF(20*(ROW()-7)/200&gt;MAX(Input!$L$17:$L$36),"",INDEX(Input!$O$17:$O$36,MATCH(20*(ROW()-7)/200,Input!$L$17:$L$36,1)+1)),Input!$O$17)</f>
        <v>5.7750000000000004</v>
      </c>
      <c r="I58" s="187">
        <f>IF(H58="","",INDEX(Input!$G$17:$G$36,MATCH($H58,Input!$O$17:$O$36,0)))</f>
        <v>23</v>
      </c>
      <c r="J58" s="178">
        <f>IF(INDEX(Input!$C$17:$C$36,MATCH($H58,Input!$O$17:$O$36,0))=0,"",INDEX(Input!$C$17:$C$36,MATCH($H58,Input!$O$17:$O$36,0)))</f>
        <v>18.54</v>
      </c>
      <c r="K58" s="178">
        <f>IF(INDEX(Input!$P$17:$P$36,MATCH($H58,Input!$O$17:$O$36,0))=0,"",INDEX(Input!$P$17:$P$36,MATCH($H58,Input!$O$17:$O$36,0)))</f>
        <v>109.93800000000002</v>
      </c>
      <c r="L58" s="178">
        <f>IF(INDEX(Input!$Q$17:$Q$36,MATCH($H58,Input!$O$17:$O$36,0))=0,"",INDEX(Input!$Q$17:$Q$36,MATCH($H58,Input!$O$17:$O$36,0)))</f>
        <v>53.285250000000012</v>
      </c>
      <c r="M58" s="187">
        <f>IF(INDEX(Input!$H$17:$H$36,MATCH($H58,Input!$O$17:$O$36,0))=0,"",INDEX(Input!$H$17:$H$36,MATCH($H58,Input!$O$17:$O$36,0)))</f>
        <v>12</v>
      </c>
      <c r="N58" s="150" t="str">
        <f>INDEX(HBF!$M$3:$M$22,MATCH($H58,Input!$O$17:$O$36,0))</f>
        <v>－</v>
      </c>
      <c r="O58" s="150" t="str">
        <f>INDEX(HBF!$N$3:$N$22,MATCH($H58,Input!$O$17:$O$36,0))</f>
        <v>－</v>
      </c>
      <c r="P58" s="178">
        <f>INDEX(HBF!$O$3:$O$22,MATCH($H58,Input!$O$17:$O$36,0))</f>
        <v>3</v>
      </c>
      <c r="Q58" s="178">
        <f>INDEX(HBF!$P$3:$P$22,MATCH($H58,Input!$O$17:$O$36,0))</f>
        <v>0</v>
      </c>
      <c r="R58" s="150" t="str">
        <f>INDEX(HBF!$F$3:$F$22,MATCH($H58,Input!$O$17:$O$36,0))</f>
        <v>－</v>
      </c>
      <c r="S58" s="150" t="str">
        <f>INDEX(HBF!$H$3:$H$22,MATCH($H58,Input!$O$17:$O$36,0))</f>
        <v>－</v>
      </c>
      <c r="T58" s="178">
        <f>INDEX(HBF!$I$3:$I$22,MATCH($H58,Input!$O$17:$O$36,0))</f>
        <v>3</v>
      </c>
      <c r="U58" s="178">
        <f>INDEX(HBF!$K$3:$K$22,MATCH($H58,Input!$O$17:$O$36,0))</f>
        <v>0</v>
      </c>
      <c r="V58" s="150" t="str">
        <f>INDEX(HBF!$R$3:$R$22,MATCH($H58,Input!$O$17:$O$36,0))</f>
        <v>－</v>
      </c>
      <c r="W58" s="150" t="str">
        <f>INDEX(HBF!$S$3:$S$22,MATCH($H58,Input!$O$17:$O$36,0))</f>
        <v>－</v>
      </c>
      <c r="X58" s="178">
        <f>INDEX(HBF!$T$3:$T$22,MATCH($H58,Input!$O$17:$O$36,0))</f>
        <v>3</v>
      </c>
      <c r="Y58" s="178">
        <f>INDEX(HBF!$U$3:$U$22,MATCH($H58,Input!$O$17:$O$36,0))</f>
        <v>0</v>
      </c>
      <c r="Z58" s="86"/>
      <c r="AA58" s="1"/>
      <c r="AB58" s="1"/>
      <c r="AC58" s="54"/>
      <c r="AD58" s="55"/>
      <c r="AE58" s="56"/>
      <c r="AF58" s="2"/>
      <c r="AG58" s="2"/>
      <c r="AH58" s="2"/>
      <c r="AI58" s="2"/>
      <c r="AJ58" s="2"/>
      <c r="AK58" s="2"/>
      <c r="AL58" s="2"/>
      <c r="AM58" s="2"/>
      <c r="AN58" s="2"/>
      <c r="AO58" s="2"/>
      <c r="AP58" s="2"/>
      <c r="AQ58" s="2"/>
    </row>
    <row r="59" spans="1:43" ht="2.25" customHeight="1">
      <c r="A59" s="2"/>
      <c r="B59" s="4"/>
      <c r="C59" s="180"/>
      <c r="D5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59" s="103"/>
      <c r="F59" s="93"/>
      <c r="G59" s="94"/>
      <c r="H59" s="178"/>
      <c r="I59" s="187"/>
      <c r="J59" s="178"/>
      <c r="K59" s="178"/>
      <c r="L59" s="178"/>
      <c r="M59" s="187"/>
      <c r="N59" s="150"/>
      <c r="O59" s="150"/>
      <c r="P59" s="178"/>
      <c r="Q59" s="178"/>
      <c r="R59" s="150"/>
      <c r="S59" s="150"/>
      <c r="T59" s="178"/>
      <c r="U59" s="178"/>
      <c r="V59" s="150"/>
      <c r="W59" s="150"/>
      <c r="X59" s="178"/>
      <c r="Y59" s="178"/>
      <c r="Z59" s="86"/>
      <c r="AA59" s="1"/>
      <c r="AB59" s="1"/>
      <c r="AC59" s="54"/>
      <c r="AD59" s="55"/>
      <c r="AE59" s="56"/>
      <c r="AF59" s="2"/>
      <c r="AG59" s="2"/>
      <c r="AH59" s="2"/>
      <c r="AI59" s="2"/>
      <c r="AJ59" s="2"/>
      <c r="AK59" s="2"/>
      <c r="AL59" s="2"/>
      <c r="AM59" s="2"/>
      <c r="AN59" s="2"/>
      <c r="AO59" s="2"/>
      <c r="AP59" s="2"/>
      <c r="AQ59" s="2"/>
    </row>
    <row r="60" spans="1:43" ht="2.25" customHeight="1">
      <c r="A60" s="2"/>
      <c r="B60" s="4"/>
      <c r="C60" s="179"/>
      <c r="D6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0" s="103"/>
      <c r="F60" s="93"/>
      <c r="G60" s="94"/>
      <c r="H60" s="178"/>
      <c r="I60" s="187"/>
      <c r="J60" s="178"/>
      <c r="K60" s="178"/>
      <c r="L60" s="178"/>
      <c r="M60" s="187"/>
      <c r="N60" s="150"/>
      <c r="O60" s="150"/>
      <c r="P60" s="178"/>
      <c r="Q60" s="178"/>
      <c r="R60" s="150"/>
      <c r="S60" s="150"/>
      <c r="T60" s="178"/>
      <c r="U60" s="178"/>
      <c r="V60" s="150"/>
      <c r="W60" s="150"/>
      <c r="X60" s="178"/>
      <c r="Y60" s="178"/>
      <c r="Z60" s="86"/>
      <c r="AA60" s="1"/>
      <c r="AB60" s="1"/>
      <c r="AC60" s="54"/>
      <c r="AD60" s="55"/>
      <c r="AE60" s="56"/>
      <c r="AF60" s="2"/>
      <c r="AG60" s="2"/>
      <c r="AH60" s="2"/>
      <c r="AI60" s="2"/>
      <c r="AJ60" s="2"/>
      <c r="AK60" s="2"/>
      <c r="AL60" s="2"/>
      <c r="AM60" s="2"/>
      <c r="AN60" s="2"/>
      <c r="AO60" s="2"/>
      <c r="AP60" s="2"/>
      <c r="AQ60" s="2"/>
    </row>
    <row r="61" spans="1:43" ht="2.25" customHeight="1">
      <c r="A61" s="2"/>
      <c r="B61" s="4"/>
      <c r="C61" s="180"/>
      <c r="D6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1" s="103"/>
      <c r="F61" s="93"/>
      <c r="G61" s="94"/>
      <c r="H61" s="178"/>
      <c r="I61" s="187"/>
      <c r="J61" s="178"/>
      <c r="K61" s="178"/>
      <c r="L61" s="178"/>
      <c r="M61" s="187"/>
      <c r="N61" s="150"/>
      <c r="O61" s="150"/>
      <c r="P61" s="178"/>
      <c r="Q61" s="178"/>
      <c r="R61" s="150"/>
      <c r="S61" s="150"/>
      <c r="T61" s="178"/>
      <c r="U61" s="178"/>
      <c r="V61" s="150"/>
      <c r="W61" s="150"/>
      <c r="X61" s="178"/>
      <c r="Y61" s="178"/>
      <c r="Z61" s="86"/>
      <c r="AA61" s="1"/>
      <c r="AB61" s="1"/>
      <c r="AC61" s="54"/>
      <c r="AD61" s="55"/>
      <c r="AE61" s="56"/>
      <c r="AF61" s="2"/>
      <c r="AG61" s="2"/>
      <c r="AH61" s="2"/>
      <c r="AI61" s="2"/>
      <c r="AJ61" s="2"/>
      <c r="AK61" s="2"/>
      <c r="AL61" s="2"/>
      <c r="AM61" s="2"/>
      <c r="AN61" s="2"/>
      <c r="AO61" s="2"/>
      <c r="AP61" s="2"/>
      <c r="AQ61" s="2"/>
    </row>
    <row r="62" spans="1:43" ht="2.25" customHeight="1">
      <c r="A62" s="2"/>
      <c r="B62" s="4"/>
      <c r="C62" s="180"/>
      <c r="D6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2" s="103"/>
      <c r="F62" s="93"/>
      <c r="G62" s="94"/>
      <c r="H62" s="178"/>
      <c r="I62" s="187"/>
      <c r="J62" s="178"/>
      <c r="K62" s="178"/>
      <c r="L62" s="178"/>
      <c r="M62" s="187"/>
      <c r="N62" s="150"/>
      <c r="O62" s="150"/>
      <c r="P62" s="178"/>
      <c r="Q62" s="178"/>
      <c r="R62" s="150"/>
      <c r="S62" s="150"/>
      <c r="T62" s="178"/>
      <c r="U62" s="178"/>
      <c r="V62" s="150"/>
      <c r="W62" s="150"/>
      <c r="X62" s="178"/>
      <c r="Y62" s="178"/>
      <c r="Z62" s="86"/>
      <c r="AA62" s="1"/>
      <c r="AB62" s="1"/>
      <c r="AC62" s="54"/>
      <c r="AD62" s="55"/>
      <c r="AE62" s="56"/>
      <c r="AF62" s="2"/>
      <c r="AG62" s="2"/>
      <c r="AH62" s="2"/>
      <c r="AI62" s="2"/>
      <c r="AJ62" s="2"/>
      <c r="AK62" s="2"/>
      <c r="AL62" s="2"/>
      <c r="AM62" s="2"/>
      <c r="AN62" s="2"/>
      <c r="AO62" s="2"/>
      <c r="AP62" s="2"/>
      <c r="AQ62" s="2"/>
    </row>
    <row r="63" spans="1:43" ht="2.25" customHeight="1">
      <c r="A63" s="2"/>
      <c r="B63" s="4"/>
      <c r="C63" s="180"/>
      <c r="D6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3" s="103"/>
      <c r="F63" s="93"/>
      <c r="G63" s="94"/>
      <c r="H63" s="178"/>
      <c r="I63" s="187"/>
      <c r="J63" s="178"/>
      <c r="K63" s="178"/>
      <c r="L63" s="178"/>
      <c r="M63" s="187"/>
      <c r="N63" s="150"/>
      <c r="O63" s="150"/>
      <c r="P63" s="178"/>
      <c r="Q63" s="178"/>
      <c r="R63" s="150"/>
      <c r="S63" s="150"/>
      <c r="T63" s="178"/>
      <c r="U63" s="178"/>
      <c r="V63" s="150"/>
      <c r="W63" s="150"/>
      <c r="X63" s="178"/>
      <c r="Y63" s="178"/>
      <c r="Z63" s="86"/>
      <c r="AA63" s="1"/>
      <c r="AB63" s="1"/>
      <c r="AC63" s="54"/>
      <c r="AD63" s="55"/>
      <c r="AE63" s="56"/>
      <c r="AF63" s="2"/>
      <c r="AG63" s="2"/>
      <c r="AH63" s="2"/>
      <c r="AI63" s="2"/>
      <c r="AJ63" s="2"/>
      <c r="AK63" s="2"/>
      <c r="AL63" s="2"/>
      <c r="AM63" s="2"/>
      <c r="AN63" s="2"/>
      <c r="AO63" s="2"/>
      <c r="AP63" s="2"/>
      <c r="AQ63" s="2"/>
    </row>
    <row r="64" spans="1:43" ht="2.25" customHeight="1">
      <c r="A64" s="2"/>
      <c r="B64" s="4"/>
      <c r="C64" s="179"/>
      <c r="D6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4" s="103"/>
      <c r="F64" s="93"/>
      <c r="G64" s="94"/>
      <c r="H64" s="178"/>
      <c r="I64" s="187"/>
      <c r="J64" s="178"/>
      <c r="K64" s="178"/>
      <c r="L64" s="178"/>
      <c r="M64" s="187"/>
      <c r="N64" s="150"/>
      <c r="O64" s="150"/>
      <c r="P64" s="178"/>
      <c r="Q64" s="178"/>
      <c r="R64" s="150"/>
      <c r="S64" s="150"/>
      <c r="T64" s="178"/>
      <c r="U64" s="178"/>
      <c r="V64" s="150"/>
      <c r="W64" s="150"/>
      <c r="X64" s="178"/>
      <c r="Y64" s="178"/>
      <c r="Z64" s="86"/>
      <c r="AA64" s="1"/>
      <c r="AB64" s="1"/>
      <c r="AC64" s="54"/>
      <c r="AD64" s="55"/>
      <c r="AE64" s="56"/>
      <c r="AF64" s="2"/>
      <c r="AG64" s="2"/>
      <c r="AH64" s="2"/>
      <c r="AI64" s="2"/>
      <c r="AJ64" s="2"/>
      <c r="AK64" s="2"/>
      <c r="AL64" s="2"/>
      <c r="AM64" s="2"/>
      <c r="AN64" s="2"/>
      <c r="AO64" s="2"/>
      <c r="AP64" s="2"/>
      <c r="AQ64" s="2"/>
    </row>
    <row r="65" spans="1:43" ht="2.25" customHeight="1">
      <c r="A65" s="2"/>
      <c r="B65" s="4"/>
      <c r="C65" s="180"/>
      <c r="D6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5" s="103"/>
      <c r="F65" s="93"/>
      <c r="G65" s="94"/>
      <c r="H65" s="178"/>
      <c r="I65" s="187"/>
      <c r="J65" s="178"/>
      <c r="K65" s="178"/>
      <c r="L65" s="178"/>
      <c r="M65" s="187"/>
      <c r="N65" s="150"/>
      <c r="O65" s="150"/>
      <c r="P65" s="178"/>
      <c r="Q65" s="178"/>
      <c r="R65" s="150"/>
      <c r="S65" s="150"/>
      <c r="T65" s="178"/>
      <c r="U65" s="178"/>
      <c r="V65" s="150"/>
      <c r="W65" s="150"/>
      <c r="X65" s="178"/>
      <c r="Y65" s="178"/>
      <c r="Z65" s="86"/>
      <c r="AA65" s="1"/>
      <c r="AB65" s="1"/>
      <c r="AC65" s="54"/>
      <c r="AD65" s="55"/>
      <c r="AE65" s="56"/>
      <c r="AF65" s="2"/>
      <c r="AG65" s="2"/>
      <c r="AH65" s="2"/>
      <c r="AI65" s="2"/>
      <c r="AJ65" s="2"/>
      <c r="AK65" s="2"/>
      <c r="AL65" s="2"/>
      <c r="AM65" s="2"/>
      <c r="AN65" s="2"/>
      <c r="AO65" s="2"/>
      <c r="AP65" s="2"/>
      <c r="AQ65" s="2"/>
    </row>
    <row r="66" spans="1:43" ht="2.25" customHeight="1">
      <c r="A66" s="2"/>
      <c r="B66" s="4"/>
      <c r="C66" s="180"/>
      <c r="D6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6" s="103"/>
      <c r="F66" s="93"/>
      <c r="G66" s="94"/>
      <c r="H66" s="178"/>
      <c r="I66" s="187"/>
      <c r="J66" s="178"/>
      <c r="K66" s="178"/>
      <c r="L66" s="178"/>
      <c r="M66" s="187"/>
      <c r="N66" s="150"/>
      <c r="O66" s="150"/>
      <c r="P66" s="178"/>
      <c r="Q66" s="178"/>
      <c r="R66" s="150"/>
      <c r="S66" s="150"/>
      <c r="T66" s="178"/>
      <c r="U66" s="178"/>
      <c r="V66" s="150"/>
      <c r="W66" s="150"/>
      <c r="X66" s="178"/>
      <c r="Y66" s="178"/>
      <c r="Z66" s="86"/>
      <c r="AA66" s="1"/>
      <c r="AB66" s="1"/>
      <c r="AC66" s="54"/>
      <c r="AD66" s="55"/>
      <c r="AE66" s="56"/>
      <c r="AF66" s="2"/>
      <c r="AG66" s="2"/>
      <c r="AH66" s="2"/>
      <c r="AI66" s="2"/>
      <c r="AJ66" s="2"/>
      <c r="AK66" s="2"/>
      <c r="AL66" s="2"/>
      <c r="AM66" s="2"/>
      <c r="AN66" s="2"/>
      <c r="AO66" s="2"/>
      <c r="AP66" s="2"/>
      <c r="AQ66" s="2"/>
    </row>
    <row r="67" spans="1:43" ht="2.25" customHeight="1">
      <c r="A67" s="2"/>
      <c r="B67" s="4"/>
      <c r="C67" s="180"/>
      <c r="D6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7" s="103"/>
      <c r="F67" s="93"/>
      <c r="G67" s="94"/>
      <c r="H67" s="178"/>
      <c r="I67" s="187"/>
      <c r="J67" s="178"/>
      <c r="K67" s="178"/>
      <c r="L67" s="178"/>
      <c r="M67" s="187"/>
      <c r="N67" s="150"/>
      <c r="O67" s="150"/>
      <c r="P67" s="178"/>
      <c r="Q67" s="178"/>
      <c r="R67" s="150"/>
      <c r="S67" s="150"/>
      <c r="T67" s="178"/>
      <c r="U67" s="178"/>
      <c r="V67" s="150"/>
      <c r="W67" s="150"/>
      <c r="X67" s="178"/>
      <c r="Y67" s="178"/>
      <c r="Z67" s="86"/>
      <c r="AA67" s="1"/>
      <c r="AB67" s="1"/>
      <c r="AC67" s="54"/>
      <c r="AD67" s="55"/>
      <c r="AE67" s="56"/>
      <c r="AF67" s="2"/>
      <c r="AG67" s="2"/>
      <c r="AH67" s="2"/>
      <c r="AI67" s="2"/>
      <c r="AJ67" s="2"/>
      <c r="AK67" s="2"/>
      <c r="AL67" s="2"/>
      <c r="AM67" s="2"/>
      <c r="AN67" s="2"/>
      <c r="AO67" s="2"/>
      <c r="AP67" s="2"/>
      <c r="AQ67" s="2"/>
    </row>
    <row r="68" spans="1:43" ht="2.25" customHeight="1">
      <c r="A68" s="2"/>
      <c r="B68" s="4"/>
      <c r="C68" s="179"/>
      <c r="D6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8" s="103"/>
      <c r="F68" s="93"/>
      <c r="G68" s="94"/>
      <c r="H68" s="178"/>
      <c r="I68" s="187"/>
      <c r="J68" s="178"/>
      <c r="K68" s="178"/>
      <c r="L68" s="178"/>
      <c r="M68" s="187"/>
      <c r="N68" s="150"/>
      <c r="O68" s="150"/>
      <c r="P68" s="178"/>
      <c r="Q68" s="178"/>
      <c r="R68" s="150"/>
      <c r="S68" s="150"/>
      <c r="T68" s="178"/>
      <c r="U68" s="178"/>
      <c r="V68" s="150"/>
      <c r="W68" s="150"/>
      <c r="X68" s="178"/>
      <c r="Y68" s="178"/>
      <c r="Z68" s="86"/>
      <c r="AA68" s="1"/>
      <c r="AB68" s="1"/>
      <c r="AC68" s="54"/>
      <c r="AD68" s="55"/>
      <c r="AE68" s="56"/>
      <c r="AF68" s="2"/>
      <c r="AG68" s="2"/>
      <c r="AH68" s="2"/>
      <c r="AI68" s="2"/>
      <c r="AJ68" s="2"/>
      <c r="AK68" s="2"/>
      <c r="AL68" s="2"/>
      <c r="AM68" s="2"/>
      <c r="AN68" s="2"/>
      <c r="AO68" s="2"/>
      <c r="AP68" s="2"/>
      <c r="AQ68" s="2"/>
    </row>
    <row r="69" spans="1:43" ht="2.25" customHeight="1">
      <c r="A69" s="2"/>
      <c r="B69" s="4"/>
      <c r="C69" s="180"/>
      <c r="D6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69" s="103"/>
      <c r="F69" s="93"/>
      <c r="G69" s="94"/>
      <c r="H69" s="178"/>
      <c r="I69" s="187"/>
      <c r="J69" s="178"/>
      <c r="K69" s="178"/>
      <c r="L69" s="178"/>
      <c r="M69" s="187"/>
      <c r="N69" s="150"/>
      <c r="O69" s="150"/>
      <c r="P69" s="178"/>
      <c r="Q69" s="178"/>
      <c r="R69" s="150"/>
      <c r="S69" s="150"/>
      <c r="T69" s="178"/>
      <c r="U69" s="178"/>
      <c r="V69" s="150"/>
      <c r="W69" s="150"/>
      <c r="X69" s="178"/>
      <c r="Y69" s="178"/>
      <c r="Z69" s="86"/>
      <c r="AA69" s="1"/>
      <c r="AB69" s="1"/>
      <c r="AC69" s="54"/>
      <c r="AD69" s="55"/>
      <c r="AE69" s="56"/>
      <c r="AF69" s="2"/>
      <c r="AG69" s="2"/>
      <c r="AH69" s="2"/>
      <c r="AI69" s="2"/>
      <c r="AJ69" s="2"/>
      <c r="AK69" s="2"/>
      <c r="AL69" s="2"/>
      <c r="AM69" s="2"/>
      <c r="AN69" s="2"/>
      <c r="AO69" s="2"/>
      <c r="AP69" s="2"/>
      <c r="AQ69" s="2"/>
    </row>
    <row r="70" spans="1:43" ht="2.25" customHeight="1">
      <c r="A70" s="2"/>
      <c r="B70" s="4"/>
      <c r="C70" s="180"/>
      <c r="D7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0" s="103"/>
      <c r="F70" s="93"/>
      <c r="G70" s="94"/>
      <c r="H70" s="178"/>
      <c r="I70" s="187"/>
      <c r="J70" s="178"/>
      <c r="K70" s="178"/>
      <c r="L70" s="178"/>
      <c r="M70" s="187"/>
      <c r="N70" s="150"/>
      <c r="O70" s="150"/>
      <c r="P70" s="178"/>
      <c r="Q70" s="178"/>
      <c r="R70" s="150"/>
      <c r="S70" s="150"/>
      <c r="T70" s="178"/>
      <c r="U70" s="178"/>
      <c r="V70" s="150"/>
      <c r="W70" s="150"/>
      <c r="X70" s="178"/>
      <c r="Y70" s="178"/>
      <c r="Z70" s="86"/>
      <c r="AA70" s="1"/>
      <c r="AB70" s="1"/>
      <c r="AC70" s="54"/>
      <c r="AD70" s="55"/>
      <c r="AE70" s="56"/>
      <c r="AF70" s="2"/>
      <c r="AG70" s="2"/>
      <c r="AH70" s="2"/>
      <c r="AI70" s="2"/>
      <c r="AJ70" s="2"/>
      <c r="AK70" s="2"/>
      <c r="AL70" s="2"/>
      <c r="AM70" s="2"/>
      <c r="AN70" s="2"/>
      <c r="AO70" s="2"/>
      <c r="AP70" s="2"/>
      <c r="AQ70" s="2"/>
    </row>
    <row r="71" spans="1:43" ht="2.25" customHeight="1">
      <c r="A71" s="2"/>
      <c r="B71" s="4"/>
      <c r="C71" s="180"/>
      <c r="D7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1" s="103"/>
      <c r="F71" s="93"/>
      <c r="G71" s="94"/>
      <c r="H71" s="178"/>
      <c r="I71" s="187"/>
      <c r="J71" s="178"/>
      <c r="K71" s="178"/>
      <c r="L71" s="178"/>
      <c r="M71" s="187"/>
      <c r="N71" s="150"/>
      <c r="O71" s="150"/>
      <c r="P71" s="178"/>
      <c r="Q71" s="178"/>
      <c r="R71" s="150"/>
      <c r="S71" s="150"/>
      <c r="T71" s="178"/>
      <c r="U71" s="178"/>
      <c r="V71" s="150"/>
      <c r="W71" s="150"/>
      <c r="X71" s="178"/>
      <c r="Y71" s="178"/>
      <c r="Z71" s="86"/>
      <c r="AA71" s="1"/>
      <c r="AB71" s="1"/>
      <c r="AC71" s="54"/>
      <c r="AD71" s="55"/>
      <c r="AE71" s="56"/>
      <c r="AF71" s="2"/>
      <c r="AG71" s="2"/>
      <c r="AH71" s="2"/>
      <c r="AI71" s="2"/>
      <c r="AJ71" s="2"/>
      <c r="AK71" s="2"/>
      <c r="AL71" s="2"/>
      <c r="AM71" s="2"/>
      <c r="AN71" s="2"/>
      <c r="AO71" s="2"/>
      <c r="AP71" s="2"/>
      <c r="AQ71" s="2"/>
    </row>
    <row r="72" spans="1:43" ht="2.25" customHeight="1">
      <c r="A72" s="2"/>
      <c r="B72" s="4"/>
      <c r="C72" s="179"/>
      <c r="D7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2" s="103"/>
      <c r="F72" s="93"/>
      <c r="G72" s="94"/>
      <c r="H72" s="178"/>
      <c r="I72" s="187"/>
      <c r="J72" s="178"/>
      <c r="K72" s="178"/>
      <c r="L72" s="178"/>
      <c r="M72" s="187"/>
      <c r="N72" s="150"/>
      <c r="O72" s="150"/>
      <c r="P72" s="178"/>
      <c r="Q72" s="178"/>
      <c r="R72" s="150"/>
      <c r="S72" s="150"/>
      <c r="T72" s="178"/>
      <c r="U72" s="178"/>
      <c r="V72" s="150"/>
      <c r="W72" s="150"/>
      <c r="X72" s="178"/>
      <c r="Y72" s="178"/>
      <c r="Z72" s="86"/>
      <c r="AA72" s="1"/>
      <c r="AB72" s="1"/>
      <c r="AC72" s="54"/>
      <c r="AD72" s="55"/>
      <c r="AE72" s="56"/>
      <c r="AF72" s="2"/>
      <c r="AG72" s="2"/>
      <c r="AH72" s="2"/>
      <c r="AI72" s="2"/>
      <c r="AJ72" s="2"/>
      <c r="AK72" s="2"/>
      <c r="AL72" s="2"/>
      <c r="AM72" s="2"/>
      <c r="AN72" s="2"/>
      <c r="AO72" s="2"/>
      <c r="AP72" s="2"/>
      <c r="AQ72" s="2"/>
    </row>
    <row r="73" spans="1:43" ht="2.25" customHeight="1">
      <c r="A73" s="2"/>
      <c r="B73" s="4"/>
      <c r="C73" s="180"/>
      <c r="D7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3" s="103"/>
      <c r="F73" s="93"/>
      <c r="G73" s="94"/>
      <c r="H73" s="178">
        <f>IF(TYPE(MATCH(20*(ROW()-7)/200,Input!$L$17:$L$36,1))&lt;&gt;16,IF(20*(ROW()-7)/200&gt;MAX(Input!$L$17:$L$36),"",INDEX(Input!$O$17:$O$36,MATCH(20*(ROW()-7)/200,Input!$L$17:$L$36,1)+1)),Input!$O$17)</f>
        <v>7.2750000000000004</v>
      </c>
      <c r="I73" s="187">
        <f>IF(H73="","",INDEX(Input!$G$17:$G$36,MATCH($H73,Input!$O$17:$O$36,0)))</f>
        <v>16</v>
      </c>
      <c r="J73" s="178">
        <f>IF(INDEX(Input!$C$17:$C$36,MATCH($H73,Input!$O$17:$O$36,0))=0,"",INDEX(Input!$C$17:$C$36,MATCH($H73,Input!$O$17:$O$36,0)))</f>
        <v>19.18</v>
      </c>
      <c r="K73" s="178">
        <f>IF(INDEX(Input!$P$17:$P$36,MATCH($H73,Input!$O$17:$O$36,0))=0,"",INDEX(Input!$P$17:$P$36,MATCH($H73,Input!$O$17:$O$36,0)))</f>
        <v>138.22800000000001</v>
      </c>
      <c r="L73" s="178">
        <f>IF(INDEX(Input!$Q$17:$Q$36,MATCH($H73,Input!$O$17:$O$36,0))=0,"",INDEX(Input!$Q$17:$Q$36,MATCH($H73,Input!$O$17:$O$36,0)))</f>
        <v>66.860250000000008</v>
      </c>
      <c r="M73" s="187">
        <f>IF(INDEX(Input!$H$17:$H$36,MATCH($H73,Input!$O$17:$O$36,0))=0,"",INDEX(Input!$H$17:$H$36,MATCH($H73,Input!$O$17:$O$36,0)))</f>
        <v>15</v>
      </c>
      <c r="N73" s="150">
        <f>INDEX(HBF!$M$3:$M$22,MATCH($H73,Input!$O$17:$O$36,0))</f>
        <v>0.44135629130407344</v>
      </c>
      <c r="O73" s="150">
        <f>INDEX(HBF!$N$3:$N$22,MATCH($H73,Input!$O$17:$O$36,0))</f>
        <v>0.10716098035379765</v>
      </c>
      <c r="P73" s="178">
        <f>INDEX(HBF!$O$3:$O$22,MATCH($H73,Input!$O$17:$O$36,0))</f>
        <v>3</v>
      </c>
      <c r="Q73" s="178">
        <f>INDEX(HBF!$P$3:$P$22,MATCH($H73,Input!$O$17:$O$36,0))</f>
        <v>0</v>
      </c>
      <c r="R73" s="150">
        <f>INDEX(HBF!$F$3:$F$22,MATCH($H73,Input!$O$17:$O$36,0))</f>
        <v>0.41982974105727316</v>
      </c>
      <c r="S73" s="150">
        <f>INDEX(HBF!$H$3:$H$22,MATCH($H73,Input!$O$17:$O$36,0))</f>
        <v>0.29905389866176091</v>
      </c>
      <c r="T73" s="178">
        <f>INDEX(HBF!$I$3:$I$22,MATCH($H73,Input!$O$17:$O$36,0))</f>
        <v>1.40385978225321</v>
      </c>
      <c r="U73" s="178">
        <f>INDEX(HBF!$K$3:$K$22,MATCH($H73,Input!$O$17:$O$36,0))</f>
        <v>0</v>
      </c>
      <c r="V73" s="150">
        <f>INDEX(HBF!$R$3:$R$22,MATCH($H73,Input!$O$17:$O$36,0))</f>
        <v>0.39989325154580058</v>
      </c>
      <c r="W73" s="150">
        <f>INDEX(HBF!$S$3:$S$22,MATCH($H73,Input!$O$17:$O$36,0))</f>
        <v>0.39873853154901456</v>
      </c>
      <c r="X73" s="178">
        <f>INDEX(HBF!$T$3:$T$22,MATCH($H73,Input!$O$17:$O$36,0))</f>
        <v>1.0028959328116602</v>
      </c>
      <c r="Y73" s="178">
        <f>INDEX(HBF!$U$3:$U$22,MATCH($H73,Input!$O$17:$O$36,0))</f>
        <v>0</v>
      </c>
      <c r="Z73" s="86"/>
      <c r="AA73" s="1"/>
      <c r="AB73" s="1"/>
      <c r="AC73" s="54"/>
      <c r="AD73" s="55"/>
      <c r="AE73" s="56"/>
      <c r="AF73" s="2"/>
      <c r="AG73" s="2"/>
      <c r="AH73" s="2"/>
      <c r="AI73" s="2"/>
      <c r="AJ73" s="2"/>
      <c r="AK73" s="2"/>
      <c r="AL73" s="2"/>
      <c r="AM73" s="2"/>
      <c r="AN73" s="2"/>
      <c r="AO73" s="2"/>
      <c r="AP73" s="2"/>
      <c r="AQ73" s="2"/>
    </row>
    <row r="74" spans="1:43" ht="2.25" customHeight="1">
      <c r="A74" s="2"/>
      <c r="B74" s="4"/>
      <c r="C74" s="180"/>
      <c r="D7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4" s="103"/>
      <c r="F74" s="93"/>
      <c r="G74" s="94"/>
      <c r="H74" s="178"/>
      <c r="I74" s="187"/>
      <c r="J74" s="178"/>
      <c r="K74" s="178"/>
      <c r="L74" s="178"/>
      <c r="M74" s="187"/>
      <c r="N74" s="150"/>
      <c r="O74" s="150"/>
      <c r="P74" s="178"/>
      <c r="Q74" s="178"/>
      <c r="R74" s="150"/>
      <c r="S74" s="150"/>
      <c r="T74" s="178"/>
      <c r="U74" s="178"/>
      <c r="V74" s="150"/>
      <c r="W74" s="150"/>
      <c r="X74" s="178"/>
      <c r="Y74" s="178"/>
      <c r="Z74" s="86"/>
      <c r="AA74" s="1"/>
      <c r="AB74" s="1"/>
      <c r="AC74" s="54"/>
      <c r="AD74" s="55"/>
      <c r="AE74" s="56"/>
      <c r="AF74" s="2"/>
      <c r="AG74" s="2"/>
      <c r="AH74" s="2"/>
      <c r="AI74" s="2"/>
      <c r="AJ74" s="2"/>
      <c r="AK74" s="2"/>
      <c r="AL74" s="2"/>
      <c r="AM74" s="2"/>
      <c r="AN74" s="2"/>
      <c r="AO74" s="2"/>
      <c r="AP74" s="2"/>
      <c r="AQ74" s="2"/>
    </row>
    <row r="75" spans="1:43" ht="2.25" customHeight="1">
      <c r="A75" s="2"/>
      <c r="B75" s="4"/>
      <c r="C75" s="180"/>
      <c r="D7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5" s="103"/>
      <c r="F75" s="93"/>
      <c r="G75" s="94"/>
      <c r="H75" s="178"/>
      <c r="I75" s="187"/>
      <c r="J75" s="178"/>
      <c r="K75" s="178"/>
      <c r="L75" s="178"/>
      <c r="M75" s="187"/>
      <c r="N75" s="150"/>
      <c r="O75" s="150"/>
      <c r="P75" s="178"/>
      <c r="Q75" s="178"/>
      <c r="R75" s="150"/>
      <c r="S75" s="150"/>
      <c r="T75" s="178"/>
      <c r="U75" s="178"/>
      <c r="V75" s="150"/>
      <c r="W75" s="150"/>
      <c r="X75" s="178"/>
      <c r="Y75" s="178"/>
      <c r="Z75" s="86"/>
      <c r="AA75" s="1"/>
      <c r="AB75" s="1"/>
      <c r="AC75" s="54"/>
      <c r="AD75" s="55"/>
      <c r="AE75" s="56"/>
      <c r="AF75" s="2"/>
      <c r="AG75" s="2"/>
      <c r="AH75" s="2"/>
      <c r="AI75" s="2"/>
      <c r="AJ75" s="2"/>
      <c r="AK75" s="2"/>
      <c r="AL75" s="2"/>
      <c r="AM75" s="2"/>
      <c r="AN75" s="2"/>
      <c r="AO75" s="2"/>
      <c r="AP75" s="2"/>
      <c r="AQ75" s="2"/>
    </row>
    <row r="76" spans="1:43" ht="2.25" customHeight="1">
      <c r="A76" s="2"/>
      <c r="B76" s="4"/>
      <c r="C76" s="179"/>
      <c r="D7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6" s="103"/>
      <c r="F76" s="93"/>
      <c r="G76" s="94"/>
      <c r="H76" s="178"/>
      <c r="I76" s="187"/>
      <c r="J76" s="178"/>
      <c r="K76" s="178"/>
      <c r="L76" s="178"/>
      <c r="M76" s="187"/>
      <c r="N76" s="150"/>
      <c r="O76" s="150"/>
      <c r="P76" s="178"/>
      <c r="Q76" s="178"/>
      <c r="R76" s="150"/>
      <c r="S76" s="150"/>
      <c r="T76" s="178"/>
      <c r="U76" s="178"/>
      <c r="V76" s="150"/>
      <c r="W76" s="150"/>
      <c r="X76" s="178"/>
      <c r="Y76" s="178"/>
      <c r="Z76" s="86"/>
      <c r="AA76" s="1"/>
      <c r="AB76" s="1"/>
      <c r="AC76" s="54"/>
      <c r="AD76" s="55"/>
      <c r="AE76" s="56"/>
      <c r="AF76" s="2"/>
      <c r="AG76" s="2"/>
      <c r="AH76" s="2"/>
      <c r="AI76" s="2"/>
      <c r="AJ76" s="2"/>
      <c r="AK76" s="2"/>
      <c r="AL76" s="2"/>
      <c r="AM76" s="2"/>
      <c r="AN76" s="2"/>
      <c r="AO76" s="2"/>
      <c r="AP76" s="2"/>
      <c r="AQ76" s="2"/>
    </row>
    <row r="77" spans="1:43" ht="2.25" customHeight="1">
      <c r="A77" s="2"/>
      <c r="B77" s="4"/>
      <c r="C77" s="180"/>
      <c r="D7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7" s="103"/>
      <c r="F77" s="93"/>
      <c r="G77" s="94"/>
      <c r="H77" s="178"/>
      <c r="I77" s="187"/>
      <c r="J77" s="178"/>
      <c r="K77" s="178"/>
      <c r="L77" s="178"/>
      <c r="M77" s="187"/>
      <c r="N77" s="150"/>
      <c r="O77" s="150"/>
      <c r="P77" s="178"/>
      <c r="Q77" s="178"/>
      <c r="R77" s="150"/>
      <c r="S77" s="150"/>
      <c r="T77" s="178"/>
      <c r="U77" s="178"/>
      <c r="V77" s="150"/>
      <c r="W77" s="150"/>
      <c r="X77" s="178"/>
      <c r="Y77" s="178"/>
      <c r="Z77" s="86"/>
      <c r="AA77" s="1"/>
      <c r="AB77" s="1"/>
      <c r="AC77" s="54"/>
      <c r="AD77" s="55"/>
      <c r="AE77" s="56"/>
      <c r="AF77" s="2"/>
      <c r="AG77" s="2"/>
      <c r="AH77" s="2"/>
      <c r="AI77" s="2"/>
      <c r="AJ77" s="2"/>
      <c r="AK77" s="2"/>
      <c r="AL77" s="2"/>
      <c r="AM77" s="2"/>
      <c r="AN77" s="2"/>
      <c r="AO77" s="2"/>
      <c r="AP77" s="2"/>
      <c r="AQ77" s="2"/>
    </row>
    <row r="78" spans="1:43" ht="2.25" customHeight="1">
      <c r="A78" s="2"/>
      <c r="B78" s="4"/>
      <c r="C78" s="180"/>
      <c r="D7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8" s="103"/>
      <c r="F78" s="93"/>
      <c r="G78" s="94"/>
      <c r="H78" s="178"/>
      <c r="I78" s="187"/>
      <c r="J78" s="178"/>
      <c r="K78" s="178"/>
      <c r="L78" s="178"/>
      <c r="M78" s="187"/>
      <c r="N78" s="150"/>
      <c r="O78" s="150"/>
      <c r="P78" s="178"/>
      <c r="Q78" s="178"/>
      <c r="R78" s="150"/>
      <c r="S78" s="150"/>
      <c r="T78" s="178"/>
      <c r="U78" s="178"/>
      <c r="V78" s="150"/>
      <c r="W78" s="150"/>
      <c r="X78" s="178"/>
      <c r="Y78" s="178"/>
      <c r="Z78" s="86"/>
      <c r="AA78" s="1"/>
      <c r="AB78" s="1"/>
      <c r="AC78" s="54"/>
      <c r="AD78" s="55"/>
      <c r="AE78" s="56"/>
      <c r="AF78" s="2"/>
      <c r="AG78" s="2"/>
      <c r="AH78" s="2"/>
      <c r="AI78" s="2"/>
      <c r="AJ78" s="2"/>
      <c r="AK78" s="2"/>
      <c r="AL78" s="2"/>
      <c r="AM78" s="2"/>
      <c r="AN78" s="2"/>
      <c r="AO78" s="2"/>
      <c r="AP78" s="2"/>
      <c r="AQ78" s="2"/>
    </row>
    <row r="79" spans="1:43" ht="2.25" customHeight="1">
      <c r="A79" s="2"/>
      <c r="B79" s="4"/>
      <c r="C79" s="180"/>
      <c r="D7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79" s="103"/>
      <c r="F79" s="93"/>
      <c r="G79" s="94"/>
      <c r="H79" s="178"/>
      <c r="I79" s="187"/>
      <c r="J79" s="178"/>
      <c r="K79" s="178"/>
      <c r="L79" s="178"/>
      <c r="M79" s="187"/>
      <c r="N79" s="150"/>
      <c r="O79" s="150"/>
      <c r="P79" s="178"/>
      <c r="Q79" s="178"/>
      <c r="R79" s="150"/>
      <c r="S79" s="150"/>
      <c r="T79" s="178"/>
      <c r="U79" s="178"/>
      <c r="V79" s="150"/>
      <c r="W79" s="150"/>
      <c r="X79" s="178"/>
      <c r="Y79" s="178"/>
      <c r="Z79" s="86"/>
      <c r="AA79" s="1"/>
      <c r="AB79" s="1"/>
      <c r="AC79" s="54"/>
      <c r="AD79" s="55"/>
      <c r="AE79" s="56"/>
      <c r="AF79" s="2"/>
      <c r="AG79" s="2"/>
      <c r="AH79" s="2"/>
      <c r="AI79" s="2"/>
      <c r="AJ79" s="2"/>
      <c r="AK79" s="2"/>
      <c r="AL79" s="2"/>
      <c r="AM79" s="2"/>
      <c r="AN79" s="2"/>
      <c r="AO79" s="2"/>
      <c r="AP79" s="2"/>
      <c r="AQ79" s="2"/>
    </row>
    <row r="80" spans="1:43" ht="2.25" customHeight="1">
      <c r="A80" s="2"/>
      <c r="B80" s="4"/>
      <c r="C80" s="179"/>
      <c r="D8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0" s="103"/>
      <c r="F80" s="93"/>
      <c r="G80" s="94"/>
      <c r="H80" s="178"/>
      <c r="I80" s="187"/>
      <c r="J80" s="178"/>
      <c r="K80" s="178"/>
      <c r="L80" s="178"/>
      <c r="M80" s="187"/>
      <c r="N80" s="150"/>
      <c r="O80" s="150"/>
      <c r="P80" s="178"/>
      <c r="Q80" s="178"/>
      <c r="R80" s="150"/>
      <c r="S80" s="150"/>
      <c r="T80" s="178"/>
      <c r="U80" s="178"/>
      <c r="V80" s="150"/>
      <c r="W80" s="150"/>
      <c r="X80" s="178"/>
      <c r="Y80" s="178"/>
      <c r="Z80" s="86"/>
      <c r="AA80" s="1"/>
      <c r="AB80" s="1"/>
      <c r="AC80" s="54"/>
      <c r="AD80" s="55"/>
      <c r="AE80" s="56"/>
      <c r="AF80" s="2"/>
      <c r="AG80" s="2"/>
      <c r="AH80" s="2"/>
      <c r="AI80" s="2"/>
      <c r="AJ80" s="2"/>
      <c r="AK80" s="2"/>
      <c r="AL80" s="2"/>
      <c r="AM80" s="2"/>
      <c r="AN80" s="2"/>
      <c r="AO80" s="2"/>
      <c r="AP80" s="2"/>
      <c r="AQ80" s="2"/>
    </row>
    <row r="81" spans="1:43" ht="2.25" customHeight="1">
      <c r="A81" s="2"/>
      <c r="B81" s="4"/>
      <c r="C81" s="180"/>
      <c r="D8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1" s="103"/>
      <c r="F81" s="93"/>
      <c r="G81" s="94"/>
      <c r="H81" s="178"/>
      <c r="I81" s="187"/>
      <c r="J81" s="178"/>
      <c r="K81" s="178"/>
      <c r="L81" s="178"/>
      <c r="M81" s="187"/>
      <c r="N81" s="150"/>
      <c r="O81" s="150"/>
      <c r="P81" s="178"/>
      <c r="Q81" s="178"/>
      <c r="R81" s="150"/>
      <c r="S81" s="150"/>
      <c r="T81" s="178"/>
      <c r="U81" s="178"/>
      <c r="V81" s="150"/>
      <c r="W81" s="150"/>
      <c r="X81" s="178"/>
      <c r="Y81" s="178"/>
      <c r="Z81" s="86"/>
      <c r="AA81" s="1"/>
      <c r="AB81" s="1"/>
      <c r="AC81" s="54"/>
      <c r="AD81" s="55"/>
      <c r="AE81" s="56"/>
      <c r="AF81" s="2"/>
      <c r="AG81" s="2"/>
      <c r="AH81" s="2"/>
      <c r="AI81" s="2"/>
      <c r="AJ81" s="2"/>
      <c r="AK81" s="2"/>
      <c r="AL81" s="2"/>
      <c r="AM81" s="2"/>
      <c r="AN81" s="2"/>
      <c r="AO81" s="2"/>
      <c r="AP81" s="2"/>
      <c r="AQ81" s="2"/>
    </row>
    <row r="82" spans="1:43" ht="2.25" customHeight="1">
      <c r="A82" s="2"/>
      <c r="B82" s="4"/>
      <c r="C82" s="180"/>
      <c r="D8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2" s="103"/>
      <c r="F82" s="93"/>
      <c r="G82" s="94"/>
      <c r="H82" s="178"/>
      <c r="I82" s="187"/>
      <c r="J82" s="178"/>
      <c r="K82" s="178"/>
      <c r="L82" s="178"/>
      <c r="M82" s="187"/>
      <c r="N82" s="150"/>
      <c r="O82" s="150"/>
      <c r="P82" s="178"/>
      <c r="Q82" s="178"/>
      <c r="R82" s="150"/>
      <c r="S82" s="150"/>
      <c r="T82" s="178"/>
      <c r="U82" s="178"/>
      <c r="V82" s="150"/>
      <c r="W82" s="150"/>
      <c r="X82" s="178"/>
      <c r="Y82" s="178"/>
      <c r="Z82" s="86"/>
      <c r="AA82" s="1"/>
      <c r="AB82" s="1"/>
      <c r="AC82" s="54"/>
      <c r="AD82" s="55"/>
      <c r="AE82" s="56"/>
      <c r="AF82" s="2"/>
      <c r="AG82" s="2"/>
      <c r="AH82" s="2"/>
      <c r="AI82" s="2"/>
      <c r="AJ82" s="2"/>
      <c r="AK82" s="2"/>
      <c r="AL82" s="2"/>
      <c r="AM82" s="2"/>
      <c r="AN82" s="2"/>
      <c r="AO82" s="2"/>
      <c r="AP82" s="2"/>
      <c r="AQ82" s="2"/>
    </row>
    <row r="83" spans="1:43" ht="2.25" customHeight="1">
      <c r="A83" s="2"/>
      <c r="B83" s="4"/>
      <c r="C83" s="180"/>
      <c r="D8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3" s="103"/>
      <c r="F83" s="93"/>
      <c r="G83" s="94"/>
      <c r="H83" s="178"/>
      <c r="I83" s="187"/>
      <c r="J83" s="178"/>
      <c r="K83" s="178"/>
      <c r="L83" s="178"/>
      <c r="M83" s="187"/>
      <c r="N83" s="150"/>
      <c r="O83" s="150"/>
      <c r="P83" s="178"/>
      <c r="Q83" s="178"/>
      <c r="R83" s="150"/>
      <c r="S83" s="150"/>
      <c r="T83" s="178"/>
      <c r="U83" s="178"/>
      <c r="V83" s="150"/>
      <c r="W83" s="150"/>
      <c r="X83" s="178"/>
      <c r="Y83" s="178"/>
      <c r="Z83" s="86"/>
      <c r="AA83" s="1"/>
      <c r="AB83" s="1"/>
      <c r="AC83" s="54"/>
      <c r="AD83" s="55"/>
      <c r="AE83" s="56"/>
      <c r="AF83" s="2"/>
      <c r="AG83" s="2"/>
      <c r="AH83" s="2"/>
      <c r="AI83" s="2"/>
      <c r="AJ83" s="2"/>
      <c r="AK83" s="2"/>
      <c r="AL83" s="2"/>
      <c r="AM83" s="2"/>
      <c r="AN83" s="2"/>
      <c r="AO83" s="2"/>
      <c r="AP83" s="2"/>
      <c r="AQ83" s="2"/>
    </row>
    <row r="84" spans="1:43" ht="2.25" customHeight="1">
      <c r="A84" s="2"/>
      <c r="B84" s="4"/>
      <c r="C84" s="179"/>
      <c r="D8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4" s="103"/>
      <c r="F84" s="93"/>
      <c r="G84" s="94"/>
      <c r="H84" s="178"/>
      <c r="I84" s="187"/>
      <c r="J84" s="178"/>
      <c r="K84" s="178"/>
      <c r="L84" s="178"/>
      <c r="M84" s="187"/>
      <c r="N84" s="150"/>
      <c r="O84" s="150"/>
      <c r="P84" s="178"/>
      <c r="Q84" s="178"/>
      <c r="R84" s="150"/>
      <c r="S84" s="150"/>
      <c r="T84" s="178"/>
      <c r="U84" s="178"/>
      <c r="V84" s="150"/>
      <c r="W84" s="150"/>
      <c r="X84" s="178"/>
      <c r="Y84" s="178"/>
      <c r="Z84" s="86"/>
      <c r="AA84" s="1"/>
      <c r="AB84" s="1"/>
      <c r="AC84" s="54"/>
      <c r="AD84" s="55"/>
      <c r="AE84" s="56"/>
      <c r="AF84" s="2"/>
      <c r="AG84" s="2"/>
      <c r="AH84" s="2"/>
      <c r="AI84" s="2"/>
      <c r="AJ84" s="2"/>
      <c r="AK84" s="2"/>
      <c r="AL84" s="2"/>
      <c r="AM84" s="2"/>
      <c r="AN84" s="2"/>
      <c r="AO84" s="2"/>
      <c r="AP84" s="2"/>
      <c r="AQ84" s="2"/>
    </row>
    <row r="85" spans="1:43" ht="2.25" customHeight="1">
      <c r="A85" s="2"/>
      <c r="B85" s="4"/>
      <c r="C85" s="180"/>
      <c r="D8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5" s="103"/>
      <c r="F85" s="93"/>
      <c r="G85" s="94"/>
      <c r="H85" s="178"/>
      <c r="I85" s="187"/>
      <c r="J85" s="178"/>
      <c r="K85" s="178"/>
      <c r="L85" s="178"/>
      <c r="M85" s="187"/>
      <c r="N85" s="150"/>
      <c r="O85" s="150"/>
      <c r="P85" s="178"/>
      <c r="Q85" s="178"/>
      <c r="R85" s="150"/>
      <c r="S85" s="150"/>
      <c r="T85" s="178"/>
      <c r="U85" s="178"/>
      <c r="V85" s="150"/>
      <c r="W85" s="150"/>
      <c r="X85" s="178"/>
      <c r="Y85" s="178"/>
      <c r="Z85" s="86"/>
      <c r="AA85" s="1"/>
      <c r="AB85" s="1"/>
      <c r="AC85" s="54"/>
      <c r="AD85" s="55"/>
      <c r="AE85" s="56"/>
      <c r="AF85" s="2"/>
      <c r="AG85" s="2"/>
      <c r="AH85" s="2"/>
      <c r="AI85" s="2"/>
      <c r="AJ85" s="2"/>
      <c r="AK85" s="2"/>
      <c r="AL85" s="2"/>
      <c r="AM85" s="2"/>
      <c r="AN85" s="2"/>
      <c r="AO85" s="2"/>
      <c r="AP85" s="2"/>
      <c r="AQ85" s="2"/>
    </row>
    <row r="86" spans="1:43" ht="2.25" customHeight="1">
      <c r="A86" s="2"/>
      <c r="B86" s="4"/>
      <c r="C86" s="180"/>
      <c r="D8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6" s="103"/>
      <c r="F86" s="93"/>
      <c r="G86" s="94"/>
      <c r="H86" s="178"/>
      <c r="I86" s="187"/>
      <c r="J86" s="178"/>
      <c r="K86" s="178"/>
      <c r="L86" s="178"/>
      <c r="M86" s="187"/>
      <c r="N86" s="150"/>
      <c r="O86" s="150"/>
      <c r="P86" s="178"/>
      <c r="Q86" s="178"/>
      <c r="R86" s="150"/>
      <c r="S86" s="150"/>
      <c r="T86" s="178"/>
      <c r="U86" s="178"/>
      <c r="V86" s="150"/>
      <c r="W86" s="150"/>
      <c r="X86" s="178"/>
      <c r="Y86" s="178"/>
      <c r="Z86" s="86"/>
      <c r="AA86" s="1"/>
      <c r="AB86" s="1"/>
      <c r="AC86" s="54"/>
      <c r="AD86" s="55"/>
      <c r="AE86" s="56"/>
      <c r="AF86" s="2"/>
      <c r="AG86" s="2"/>
      <c r="AH86" s="2"/>
      <c r="AI86" s="2"/>
      <c r="AJ86" s="2"/>
      <c r="AK86" s="2"/>
      <c r="AL86" s="2"/>
      <c r="AM86" s="2"/>
      <c r="AN86" s="2"/>
      <c r="AO86" s="2"/>
      <c r="AP86" s="2"/>
      <c r="AQ86" s="2"/>
    </row>
    <row r="87" spans="1:43" ht="2.25" customHeight="1">
      <c r="A87" s="2"/>
      <c r="B87" s="4"/>
      <c r="C87" s="180"/>
      <c r="D8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7" s="103"/>
      <c r="F87" s="93"/>
      <c r="G87" s="94"/>
      <c r="H87" s="178"/>
      <c r="I87" s="187"/>
      <c r="J87" s="178"/>
      <c r="K87" s="178"/>
      <c r="L87" s="178"/>
      <c r="M87" s="187"/>
      <c r="N87" s="150"/>
      <c r="O87" s="150"/>
      <c r="P87" s="178"/>
      <c r="Q87" s="178"/>
      <c r="R87" s="150"/>
      <c r="S87" s="150"/>
      <c r="T87" s="178"/>
      <c r="U87" s="178"/>
      <c r="V87" s="150"/>
      <c r="W87" s="150"/>
      <c r="X87" s="178"/>
      <c r="Y87" s="178"/>
      <c r="Z87" s="86"/>
      <c r="AA87" s="1"/>
      <c r="AB87" s="1"/>
      <c r="AC87" s="54"/>
      <c r="AD87" s="55"/>
      <c r="AE87" s="56"/>
      <c r="AF87" s="2"/>
      <c r="AG87" s="2"/>
      <c r="AH87" s="2"/>
      <c r="AI87" s="2"/>
      <c r="AJ87" s="2"/>
      <c r="AK87" s="2"/>
      <c r="AL87" s="2"/>
      <c r="AM87" s="2"/>
      <c r="AN87" s="2"/>
      <c r="AO87" s="2"/>
      <c r="AP87" s="2"/>
      <c r="AQ87" s="2"/>
    </row>
    <row r="88" spans="1:43" ht="2.25" customHeight="1">
      <c r="A88" s="2"/>
      <c r="B88" s="4"/>
      <c r="C88" s="179"/>
      <c r="D8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8" s="103"/>
      <c r="F88" s="93"/>
      <c r="G88" s="94"/>
      <c r="H88" s="178">
        <f>IF(TYPE(MATCH(20*(ROW()-7)/200,Input!$L$17:$L$36,1))&lt;&gt;16,IF(20*(ROW()-7)/200&gt;MAX(Input!$L$17:$L$36),"",INDEX(Input!$O$17:$O$36,MATCH(20*(ROW()-7)/200,Input!$L$17:$L$36,1)+1)),Input!$O$17)</f>
        <v>8.7750000000000004</v>
      </c>
      <c r="I88" s="187">
        <f>IF(H88="","",INDEX(Input!$G$17:$G$36,MATCH($H88,Input!$O$17:$O$36,0)))</f>
        <v>15</v>
      </c>
      <c r="J88" s="178">
        <f>IF(INDEX(Input!$C$17:$C$36,MATCH($H88,Input!$O$17:$O$36,0))=0,"",INDEX(Input!$C$17:$C$36,MATCH($H88,Input!$O$17:$O$36,0)))</f>
        <v>18.84</v>
      </c>
      <c r="K88" s="178">
        <f>IF(INDEX(Input!$P$17:$P$36,MATCH($H88,Input!$O$17:$O$36,0))=0,"",INDEX(Input!$P$17:$P$36,MATCH($H88,Input!$O$17:$O$36,0)))</f>
        <v>166.74299999999999</v>
      </c>
      <c r="L88" s="178">
        <f>IF(INDEX(Input!$Q$17:$Q$36,MATCH($H88,Input!$O$17:$O$36,0))=0,"",INDEX(Input!$Q$17:$Q$36,MATCH($H88,Input!$O$17:$O$36,0)))</f>
        <v>80.660249999999991</v>
      </c>
      <c r="M88" s="187">
        <f>IF(INDEX(Input!$H$17:$H$36,MATCH($H88,Input!$O$17:$O$36,0))=0,"",INDEX(Input!$H$17:$H$36,MATCH($H88,Input!$O$17:$O$36,0)))</f>
        <v>13</v>
      </c>
      <c r="N88" s="150">
        <f>INDEX(HBF!$M$3:$M$22,MATCH($H88,Input!$O$17:$O$36,0))</f>
        <v>0.29634906377330211</v>
      </c>
      <c r="O88" s="150">
        <f>INDEX(HBF!$N$3:$N$22,MATCH($H88,Input!$O$17:$O$36,0))</f>
        <v>0.10541774626070463</v>
      </c>
      <c r="P88" s="178">
        <f>INDEX(HBF!$O$3:$O$22,MATCH($H88,Input!$O$17:$O$36,0))</f>
        <v>2.8111876252828671</v>
      </c>
      <c r="Q88" s="178">
        <f>INDEX(HBF!$P$3:$P$22,MATCH($H88,Input!$O$17:$O$36,0))</f>
        <v>0</v>
      </c>
      <c r="R88" s="150">
        <f>INDEX(HBF!$F$3:$F$22,MATCH($H88,Input!$O$17:$O$36,0))</f>
        <v>0.28189504297967277</v>
      </c>
      <c r="S88" s="150">
        <f>INDEX(HBF!$H$3:$H$22,MATCH($H88,Input!$O$17:$O$36,0))</f>
        <v>0.29418905933219897</v>
      </c>
      <c r="T88" s="178">
        <f>INDEX(HBF!$I$3:$I$22,MATCH($H88,Input!$O$17:$O$36,0))</f>
        <v>0.95821049096647826</v>
      </c>
      <c r="U88" s="178">
        <f>INDEX(HBF!$K$3:$K$22,MATCH($H88,Input!$O$17:$O$36,0))</f>
        <v>0.35181542917596115</v>
      </c>
      <c r="V88" s="150">
        <f>INDEX(HBF!$R$3:$R$22,MATCH($H88,Input!$O$17:$O$36,0))</f>
        <v>0.26850866984291666</v>
      </c>
      <c r="W88" s="150">
        <f>INDEX(HBF!$S$3:$S$22,MATCH($H88,Input!$O$17:$O$36,0))</f>
        <v>0.39225207910959864</v>
      </c>
      <c r="X88" s="178">
        <f>INDEX(HBF!$T$3:$T$22,MATCH($H88,Input!$O$17:$O$36,0))</f>
        <v>0.68453090281235451</v>
      </c>
      <c r="Y88" s="178">
        <f>INDEX(HBF!$U$3:$U$22,MATCH($H88,Input!$O$17:$O$36,0))</f>
        <v>2.6558554619484904</v>
      </c>
      <c r="Z88" s="86"/>
      <c r="AA88" s="1"/>
      <c r="AB88" s="1"/>
      <c r="AC88" s="54"/>
      <c r="AD88" s="55"/>
      <c r="AE88" s="56"/>
      <c r="AF88" s="2"/>
      <c r="AG88" s="2"/>
      <c r="AH88" s="2"/>
      <c r="AI88" s="2"/>
      <c r="AJ88" s="2"/>
      <c r="AK88" s="2"/>
      <c r="AL88" s="2"/>
      <c r="AM88" s="2"/>
      <c r="AN88" s="2"/>
      <c r="AO88" s="2"/>
      <c r="AP88" s="2"/>
      <c r="AQ88" s="2"/>
    </row>
    <row r="89" spans="1:43" ht="2.25" customHeight="1">
      <c r="A89" s="2"/>
      <c r="B89" s="4"/>
      <c r="C89" s="180"/>
      <c r="D8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89" s="103"/>
      <c r="F89" s="93"/>
      <c r="G89" s="94"/>
      <c r="H89" s="178"/>
      <c r="I89" s="187"/>
      <c r="J89" s="178"/>
      <c r="K89" s="178"/>
      <c r="L89" s="178"/>
      <c r="M89" s="187"/>
      <c r="N89" s="150"/>
      <c r="O89" s="150"/>
      <c r="P89" s="178"/>
      <c r="Q89" s="178"/>
      <c r="R89" s="150"/>
      <c r="S89" s="150"/>
      <c r="T89" s="178"/>
      <c r="U89" s="178"/>
      <c r="V89" s="150"/>
      <c r="W89" s="150"/>
      <c r="X89" s="178"/>
      <c r="Y89" s="178"/>
      <c r="Z89" s="86"/>
      <c r="AA89" s="1"/>
      <c r="AB89" s="1"/>
      <c r="AC89" s="54"/>
      <c r="AD89" s="55"/>
      <c r="AE89" s="56"/>
      <c r="AF89" s="2"/>
      <c r="AG89" s="2"/>
      <c r="AH89" s="2"/>
      <c r="AI89" s="2"/>
      <c r="AJ89" s="2"/>
      <c r="AK89" s="2"/>
      <c r="AL89" s="2"/>
      <c r="AM89" s="2"/>
      <c r="AN89" s="2"/>
      <c r="AO89" s="2"/>
      <c r="AP89" s="2"/>
      <c r="AQ89" s="2"/>
    </row>
    <row r="90" spans="1:43" ht="2.25" customHeight="1">
      <c r="A90" s="2"/>
      <c r="B90" s="4"/>
      <c r="C90" s="180"/>
      <c r="D9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0" s="103"/>
      <c r="F90" s="93"/>
      <c r="G90" s="94"/>
      <c r="H90" s="178"/>
      <c r="I90" s="187"/>
      <c r="J90" s="178"/>
      <c r="K90" s="178"/>
      <c r="L90" s="178"/>
      <c r="M90" s="187"/>
      <c r="N90" s="150"/>
      <c r="O90" s="150"/>
      <c r="P90" s="178"/>
      <c r="Q90" s="178"/>
      <c r="R90" s="150"/>
      <c r="S90" s="150"/>
      <c r="T90" s="178"/>
      <c r="U90" s="178"/>
      <c r="V90" s="150"/>
      <c r="W90" s="150"/>
      <c r="X90" s="178"/>
      <c r="Y90" s="178"/>
      <c r="Z90" s="86"/>
      <c r="AA90" s="1"/>
      <c r="AB90" s="1"/>
      <c r="AC90" s="54"/>
      <c r="AD90" s="55"/>
      <c r="AE90" s="56"/>
      <c r="AF90" s="2"/>
      <c r="AG90" s="2"/>
      <c r="AH90" s="2"/>
      <c r="AI90" s="2"/>
      <c r="AJ90" s="2"/>
      <c r="AK90" s="2"/>
      <c r="AL90" s="2"/>
      <c r="AM90" s="2"/>
      <c r="AN90" s="2"/>
      <c r="AO90" s="2"/>
      <c r="AP90" s="2"/>
      <c r="AQ90" s="2"/>
    </row>
    <row r="91" spans="1:43" ht="2.25" customHeight="1">
      <c r="A91" s="2"/>
      <c r="B91" s="4"/>
      <c r="C91" s="180"/>
      <c r="D9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1" s="103"/>
      <c r="F91" s="93"/>
      <c r="G91" s="94"/>
      <c r="H91" s="178"/>
      <c r="I91" s="187"/>
      <c r="J91" s="178"/>
      <c r="K91" s="178"/>
      <c r="L91" s="178"/>
      <c r="M91" s="187"/>
      <c r="N91" s="150"/>
      <c r="O91" s="150"/>
      <c r="P91" s="178"/>
      <c r="Q91" s="178"/>
      <c r="R91" s="150"/>
      <c r="S91" s="150"/>
      <c r="T91" s="178"/>
      <c r="U91" s="178"/>
      <c r="V91" s="150"/>
      <c r="W91" s="150"/>
      <c r="X91" s="178"/>
      <c r="Y91" s="178"/>
      <c r="Z91" s="86"/>
      <c r="AA91" s="1"/>
      <c r="AB91" s="1"/>
      <c r="AC91" s="54"/>
      <c r="AD91" s="55"/>
      <c r="AE91" s="56"/>
      <c r="AF91" s="2"/>
      <c r="AG91" s="2"/>
      <c r="AH91" s="2"/>
      <c r="AI91" s="2"/>
      <c r="AJ91" s="2"/>
      <c r="AK91" s="2"/>
      <c r="AL91" s="2"/>
      <c r="AM91" s="2"/>
      <c r="AN91" s="2"/>
      <c r="AO91" s="2"/>
      <c r="AP91" s="2"/>
      <c r="AQ91" s="2"/>
    </row>
    <row r="92" spans="1:43" ht="2.25" customHeight="1">
      <c r="A92" s="2"/>
      <c r="B92" s="4"/>
      <c r="C92" s="179"/>
      <c r="D9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2" s="103"/>
      <c r="F92" s="93"/>
      <c r="G92" s="94"/>
      <c r="H92" s="178"/>
      <c r="I92" s="187"/>
      <c r="J92" s="178"/>
      <c r="K92" s="178"/>
      <c r="L92" s="178"/>
      <c r="M92" s="187"/>
      <c r="N92" s="150"/>
      <c r="O92" s="150"/>
      <c r="P92" s="178"/>
      <c r="Q92" s="178"/>
      <c r="R92" s="150"/>
      <c r="S92" s="150"/>
      <c r="T92" s="178"/>
      <c r="U92" s="178"/>
      <c r="V92" s="150"/>
      <c r="W92" s="150"/>
      <c r="X92" s="178"/>
      <c r="Y92" s="178"/>
      <c r="Z92" s="86"/>
      <c r="AA92" s="1"/>
      <c r="AB92" s="1"/>
      <c r="AC92" s="54"/>
      <c r="AD92" s="55"/>
      <c r="AE92" s="56"/>
      <c r="AF92" s="2"/>
      <c r="AG92" s="2"/>
      <c r="AH92" s="2"/>
      <c r="AI92" s="2"/>
      <c r="AJ92" s="2"/>
      <c r="AK92" s="2"/>
      <c r="AL92" s="2"/>
      <c r="AM92" s="2"/>
      <c r="AN92" s="2"/>
      <c r="AO92" s="2"/>
      <c r="AP92" s="2"/>
      <c r="AQ92" s="2"/>
    </row>
    <row r="93" spans="1:43" ht="2.25" customHeight="1">
      <c r="A93" s="2"/>
      <c r="B93" s="4"/>
      <c r="C93" s="180"/>
      <c r="D9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3" s="103"/>
      <c r="F93" s="93"/>
      <c r="G93" s="94"/>
      <c r="H93" s="178"/>
      <c r="I93" s="187"/>
      <c r="J93" s="178"/>
      <c r="K93" s="178"/>
      <c r="L93" s="178"/>
      <c r="M93" s="187"/>
      <c r="N93" s="150"/>
      <c r="O93" s="150"/>
      <c r="P93" s="178"/>
      <c r="Q93" s="178"/>
      <c r="R93" s="150"/>
      <c r="S93" s="150"/>
      <c r="T93" s="178"/>
      <c r="U93" s="178"/>
      <c r="V93" s="150"/>
      <c r="W93" s="150"/>
      <c r="X93" s="178"/>
      <c r="Y93" s="178"/>
      <c r="Z93" s="86"/>
      <c r="AA93" s="1"/>
      <c r="AB93" s="1"/>
      <c r="AC93" s="54"/>
      <c r="AD93" s="55"/>
      <c r="AE93" s="56"/>
      <c r="AF93" s="2"/>
      <c r="AG93" s="2"/>
      <c r="AH93" s="2"/>
      <c r="AI93" s="2"/>
      <c r="AJ93" s="2"/>
      <c r="AK93" s="2"/>
      <c r="AL93" s="2"/>
      <c r="AM93" s="2"/>
      <c r="AN93" s="2"/>
      <c r="AO93" s="2"/>
      <c r="AP93" s="2"/>
      <c r="AQ93" s="2"/>
    </row>
    <row r="94" spans="1:43" ht="2.25" customHeight="1">
      <c r="A94" s="2"/>
      <c r="B94" s="4"/>
      <c r="C94" s="180"/>
      <c r="D9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4" s="103"/>
      <c r="F94" s="93"/>
      <c r="G94" s="94"/>
      <c r="H94" s="178"/>
      <c r="I94" s="187"/>
      <c r="J94" s="178"/>
      <c r="K94" s="178"/>
      <c r="L94" s="178"/>
      <c r="M94" s="187"/>
      <c r="N94" s="150"/>
      <c r="O94" s="150"/>
      <c r="P94" s="178"/>
      <c r="Q94" s="178"/>
      <c r="R94" s="150"/>
      <c r="S94" s="150"/>
      <c r="T94" s="178"/>
      <c r="U94" s="178"/>
      <c r="V94" s="150"/>
      <c r="W94" s="150"/>
      <c r="X94" s="178"/>
      <c r="Y94" s="178"/>
      <c r="Z94" s="86"/>
      <c r="AA94" s="1"/>
      <c r="AB94" s="1"/>
      <c r="AC94" s="54"/>
      <c r="AD94" s="55"/>
      <c r="AE94" s="56"/>
      <c r="AF94" s="2"/>
      <c r="AG94" s="2"/>
      <c r="AH94" s="2"/>
      <c r="AI94" s="2"/>
      <c r="AJ94" s="2"/>
      <c r="AK94" s="2"/>
      <c r="AL94" s="2"/>
      <c r="AM94" s="2"/>
      <c r="AN94" s="2"/>
      <c r="AO94" s="2"/>
      <c r="AP94" s="2"/>
      <c r="AQ94" s="2"/>
    </row>
    <row r="95" spans="1:43" ht="2.25" customHeight="1">
      <c r="A95" s="2"/>
      <c r="B95" s="4"/>
      <c r="C95" s="180"/>
      <c r="D9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5" s="103"/>
      <c r="F95" s="93"/>
      <c r="G95" s="94"/>
      <c r="H95" s="178"/>
      <c r="I95" s="187"/>
      <c r="J95" s="178"/>
      <c r="K95" s="178"/>
      <c r="L95" s="178"/>
      <c r="M95" s="187"/>
      <c r="N95" s="150"/>
      <c r="O95" s="150"/>
      <c r="P95" s="178"/>
      <c r="Q95" s="178"/>
      <c r="R95" s="150"/>
      <c r="S95" s="150"/>
      <c r="T95" s="178"/>
      <c r="U95" s="178"/>
      <c r="V95" s="150"/>
      <c r="W95" s="150"/>
      <c r="X95" s="178"/>
      <c r="Y95" s="178"/>
      <c r="Z95" s="86"/>
      <c r="AA95" s="1"/>
      <c r="AB95" s="1"/>
      <c r="AC95" s="54"/>
      <c r="AD95" s="55"/>
      <c r="AE95" s="56"/>
      <c r="AF95" s="2"/>
      <c r="AG95" s="2"/>
      <c r="AH95" s="2"/>
      <c r="AI95" s="2"/>
      <c r="AJ95" s="2"/>
      <c r="AK95" s="2"/>
      <c r="AL95" s="2"/>
      <c r="AM95" s="2"/>
      <c r="AN95" s="2"/>
      <c r="AO95" s="2"/>
      <c r="AP95" s="2"/>
      <c r="AQ95" s="2"/>
    </row>
    <row r="96" spans="1:43" ht="2.25" customHeight="1">
      <c r="A96" s="2"/>
      <c r="B96" s="4"/>
      <c r="C96" s="179"/>
      <c r="D9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6" s="103"/>
      <c r="F96" s="93"/>
      <c r="G96" s="94"/>
      <c r="H96" s="178"/>
      <c r="I96" s="187"/>
      <c r="J96" s="178"/>
      <c r="K96" s="178"/>
      <c r="L96" s="178"/>
      <c r="M96" s="187"/>
      <c r="N96" s="150"/>
      <c r="O96" s="150"/>
      <c r="P96" s="178"/>
      <c r="Q96" s="178"/>
      <c r="R96" s="150"/>
      <c r="S96" s="150"/>
      <c r="T96" s="178"/>
      <c r="U96" s="178"/>
      <c r="V96" s="150"/>
      <c r="W96" s="150"/>
      <c r="X96" s="178"/>
      <c r="Y96" s="178"/>
      <c r="Z96" s="86"/>
      <c r="AA96" s="1"/>
      <c r="AB96" s="1"/>
      <c r="AC96" s="54"/>
      <c r="AD96" s="55"/>
      <c r="AE96" s="56"/>
      <c r="AF96" s="2"/>
      <c r="AG96" s="2"/>
      <c r="AH96" s="2"/>
      <c r="AI96" s="2"/>
      <c r="AJ96" s="2"/>
      <c r="AK96" s="2"/>
      <c r="AL96" s="2"/>
      <c r="AM96" s="2"/>
      <c r="AN96" s="2"/>
      <c r="AO96" s="2"/>
      <c r="AP96" s="2"/>
      <c r="AQ96" s="2"/>
    </row>
    <row r="97" spans="1:43" ht="2.25" customHeight="1">
      <c r="A97" s="2"/>
      <c r="B97" s="4"/>
      <c r="C97" s="180"/>
      <c r="D9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7" s="103"/>
      <c r="F97" s="93"/>
      <c r="G97" s="94"/>
      <c r="H97" s="178"/>
      <c r="I97" s="187"/>
      <c r="J97" s="178"/>
      <c r="K97" s="178"/>
      <c r="L97" s="178"/>
      <c r="M97" s="187"/>
      <c r="N97" s="150"/>
      <c r="O97" s="150"/>
      <c r="P97" s="178"/>
      <c r="Q97" s="178"/>
      <c r="R97" s="150"/>
      <c r="S97" s="150"/>
      <c r="T97" s="178"/>
      <c r="U97" s="178"/>
      <c r="V97" s="150"/>
      <c r="W97" s="150"/>
      <c r="X97" s="178"/>
      <c r="Y97" s="178"/>
      <c r="Z97" s="86"/>
      <c r="AA97" s="1"/>
      <c r="AB97" s="1"/>
      <c r="AC97" s="54"/>
      <c r="AD97" s="55"/>
      <c r="AE97" s="56"/>
      <c r="AF97" s="2"/>
      <c r="AG97" s="2"/>
      <c r="AH97" s="2"/>
      <c r="AI97" s="2"/>
      <c r="AJ97" s="2"/>
      <c r="AK97" s="2"/>
      <c r="AL97" s="2"/>
      <c r="AM97" s="2"/>
      <c r="AN97" s="2"/>
      <c r="AO97" s="2"/>
      <c r="AP97" s="2"/>
      <c r="AQ97" s="2"/>
    </row>
    <row r="98" spans="1:43" ht="2.25" customHeight="1">
      <c r="A98" s="2"/>
      <c r="B98" s="4"/>
      <c r="C98" s="180"/>
      <c r="D9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8" s="103"/>
      <c r="F98" s="93"/>
      <c r="G98" s="94"/>
      <c r="H98" s="178"/>
      <c r="I98" s="187"/>
      <c r="J98" s="178"/>
      <c r="K98" s="178"/>
      <c r="L98" s="178"/>
      <c r="M98" s="187"/>
      <c r="N98" s="150"/>
      <c r="O98" s="150"/>
      <c r="P98" s="178"/>
      <c r="Q98" s="178"/>
      <c r="R98" s="150"/>
      <c r="S98" s="150"/>
      <c r="T98" s="178"/>
      <c r="U98" s="178"/>
      <c r="V98" s="150"/>
      <c r="W98" s="150"/>
      <c r="X98" s="178"/>
      <c r="Y98" s="178"/>
      <c r="Z98" s="86"/>
      <c r="AA98" s="1"/>
      <c r="AB98" s="1"/>
      <c r="AC98" s="54"/>
      <c r="AD98" s="55"/>
      <c r="AE98" s="56"/>
      <c r="AF98" s="2"/>
      <c r="AG98" s="2"/>
      <c r="AH98" s="2"/>
      <c r="AI98" s="2"/>
      <c r="AJ98" s="2"/>
      <c r="AK98" s="2"/>
      <c r="AL98" s="2"/>
      <c r="AM98" s="2"/>
      <c r="AN98" s="2"/>
      <c r="AO98" s="2"/>
      <c r="AP98" s="2"/>
      <c r="AQ98" s="2"/>
    </row>
    <row r="99" spans="1:43" ht="2.25" customHeight="1">
      <c r="A99" s="2"/>
      <c r="B99" s="4"/>
      <c r="C99" s="180"/>
      <c r="D9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99" s="103"/>
      <c r="F99" s="93"/>
      <c r="G99" s="94"/>
      <c r="H99" s="178"/>
      <c r="I99" s="187"/>
      <c r="J99" s="178"/>
      <c r="K99" s="178"/>
      <c r="L99" s="178"/>
      <c r="M99" s="187"/>
      <c r="N99" s="150"/>
      <c r="O99" s="150"/>
      <c r="P99" s="178"/>
      <c r="Q99" s="178"/>
      <c r="R99" s="150"/>
      <c r="S99" s="150"/>
      <c r="T99" s="178"/>
      <c r="U99" s="178"/>
      <c r="V99" s="150"/>
      <c r="W99" s="150"/>
      <c r="X99" s="178"/>
      <c r="Y99" s="178"/>
      <c r="Z99" s="86"/>
      <c r="AA99" s="1"/>
      <c r="AB99" s="1"/>
      <c r="AC99" s="54"/>
      <c r="AD99" s="55"/>
      <c r="AE99" s="56"/>
      <c r="AF99" s="2"/>
      <c r="AG99" s="2"/>
      <c r="AH99" s="2"/>
      <c r="AI99" s="2"/>
      <c r="AJ99" s="2"/>
      <c r="AK99" s="2"/>
      <c r="AL99" s="2"/>
      <c r="AM99" s="2"/>
      <c r="AN99" s="2"/>
      <c r="AO99" s="2"/>
      <c r="AP99" s="2"/>
      <c r="AQ99" s="2"/>
    </row>
    <row r="100" spans="1:43" ht="2.25" customHeight="1">
      <c r="A100" s="2"/>
      <c r="B100" s="4"/>
      <c r="C100" s="179"/>
      <c r="D10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00" s="103"/>
      <c r="F100" s="93"/>
      <c r="G100" s="94"/>
      <c r="H100" s="178"/>
      <c r="I100" s="187"/>
      <c r="J100" s="178"/>
      <c r="K100" s="178"/>
      <c r="L100" s="178"/>
      <c r="M100" s="187"/>
      <c r="N100" s="150"/>
      <c r="O100" s="150"/>
      <c r="P100" s="178"/>
      <c r="Q100" s="178"/>
      <c r="R100" s="150"/>
      <c r="S100" s="150"/>
      <c r="T100" s="178"/>
      <c r="U100" s="178"/>
      <c r="V100" s="150"/>
      <c r="W100" s="150"/>
      <c r="X100" s="178"/>
      <c r="Y100" s="178"/>
      <c r="Z100" s="86"/>
      <c r="AA100" s="1"/>
      <c r="AB100" s="1"/>
      <c r="AC100" s="54"/>
      <c r="AD100" s="55"/>
      <c r="AE100" s="56"/>
      <c r="AF100" s="2"/>
      <c r="AG100" s="2"/>
      <c r="AH100" s="2"/>
      <c r="AI100" s="2"/>
      <c r="AJ100" s="2"/>
      <c r="AK100" s="2"/>
      <c r="AL100" s="2"/>
      <c r="AM100" s="2"/>
      <c r="AN100" s="2"/>
      <c r="AO100" s="2"/>
      <c r="AP100" s="2"/>
      <c r="AQ100" s="2"/>
    </row>
    <row r="101" spans="1:43" ht="2.25" customHeight="1">
      <c r="A101" s="2"/>
      <c r="B101" s="4"/>
      <c r="C101" s="180"/>
      <c r="D10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01" s="103"/>
      <c r="F101" s="93"/>
      <c r="G101" s="94"/>
      <c r="H101" s="178"/>
      <c r="I101" s="187"/>
      <c r="J101" s="178"/>
      <c r="K101" s="178"/>
      <c r="L101" s="178"/>
      <c r="M101" s="187"/>
      <c r="N101" s="150"/>
      <c r="O101" s="150"/>
      <c r="P101" s="178"/>
      <c r="Q101" s="178"/>
      <c r="R101" s="150"/>
      <c r="S101" s="150"/>
      <c r="T101" s="178"/>
      <c r="U101" s="178"/>
      <c r="V101" s="150"/>
      <c r="W101" s="150"/>
      <c r="X101" s="178"/>
      <c r="Y101" s="178"/>
      <c r="Z101" s="86"/>
      <c r="AA101" s="1"/>
      <c r="AB101" s="1"/>
      <c r="AC101" s="54"/>
      <c r="AD101" s="55"/>
      <c r="AE101" s="56"/>
      <c r="AF101" s="2"/>
      <c r="AG101" s="2"/>
      <c r="AH101" s="2"/>
      <c r="AI101" s="2"/>
      <c r="AJ101" s="2"/>
      <c r="AK101" s="2"/>
      <c r="AL101" s="2"/>
      <c r="AM101" s="2"/>
      <c r="AN101" s="2"/>
      <c r="AO101" s="2"/>
      <c r="AP101" s="2"/>
      <c r="AQ101" s="2"/>
    </row>
    <row r="102" spans="1:43" ht="2.25" customHeight="1">
      <c r="A102" s="2"/>
      <c r="B102" s="4"/>
      <c r="C102" s="180"/>
      <c r="D10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02" s="103"/>
      <c r="F102" s="93"/>
      <c r="G102" s="94"/>
      <c r="H102" s="178"/>
      <c r="I102" s="187"/>
      <c r="J102" s="178"/>
      <c r="K102" s="178"/>
      <c r="L102" s="178"/>
      <c r="M102" s="187"/>
      <c r="N102" s="150"/>
      <c r="O102" s="150"/>
      <c r="P102" s="178"/>
      <c r="Q102" s="178"/>
      <c r="R102" s="150"/>
      <c r="S102" s="150"/>
      <c r="T102" s="178"/>
      <c r="U102" s="178"/>
      <c r="V102" s="150"/>
      <c r="W102" s="150"/>
      <c r="X102" s="178"/>
      <c r="Y102" s="178"/>
      <c r="Z102" s="86"/>
      <c r="AA102" s="1"/>
      <c r="AB102" s="1"/>
      <c r="AC102" s="54"/>
      <c r="AD102" s="55"/>
      <c r="AE102" s="56"/>
      <c r="AF102" s="2"/>
      <c r="AG102" s="2"/>
      <c r="AH102" s="2"/>
      <c r="AI102" s="2"/>
      <c r="AJ102" s="2"/>
      <c r="AK102" s="2"/>
      <c r="AL102" s="2"/>
      <c r="AM102" s="2"/>
      <c r="AN102" s="2"/>
      <c r="AO102" s="2"/>
      <c r="AP102" s="2"/>
      <c r="AQ102" s="2"/>
    </row>
    <row r="103" spans="1:43" ht="2.25" customHeight="1">
      <c r="A103" s="2"/>
      <c r="B103" s="4"/>
      <c r="C103" s="180"/>
      <c r="D10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3" s="103"/>
      <c r="F103" s="93"/>
      <c r="G103" s="94"/>
      <c r="H103" s="178">
        <f>IF(TYPE(MATCH(20*(ROW()-7)/200,Input!$L$17:$L$36,1))&lt;&gt;16,IF(20*(ROW()-7)/200&gt;MAX(Input!$L$17:$L$36),"",INDEX(Input!$O$17:$O$36,MATCH(20*(ROW()-7)/200,Input!$L$17:$L$36,1)+1)),Input!$O$17)</f>
        <v>10.275</v>
      </c>
      <c r="I103" s="187">
        <f>IF(H103="","",INDEX(Input!$G$17:$G$36,MATCH($H103,Input!$O$17:$O$36,0)))</f>
        <v>7</v>
      </c>
      <c r="J103" s="178">
        <f>IF(INDEX(Input!$C$17:$C$36,MATCH($H103,Input!$O$17:$O$36,0))=0,"",INDEX(Input!$C$17:$C$36,MATCH($H103,Input!$O$17:$O$36,0)))</f>
        <v>18.39</v>
      </c>
      <c r="K103" s="178">
        <f>IF(INDEX(Input!$P$17:$P$36,MATCH($H103,Input!$O$17:$O$36,0))=0,"",INDEX(Input!$P$17:$P$36,MATCH($H103,Input!$O$17:$O$36,0)))</f>
        <v>194.66550000000001</v>
      </c>
      <c r="L103" s="178">
        <f>IF(INDEX(Input!$Q$17:$Q$36,MATCH($H103,Input!$O$17:$O$36,0))=0,"",INDEX(Input!$Q$17:$Q$36,MATCH($H103,Input!$O$17:$O$36,0)))</f>
        <v>93.867750000000001</v>
      </c>
      <c r="M103" s="187">
        <f>IF(INDEX(Input!$H$17:$H$36,MATCH($H103,Input!$O$17:$O$36,0))=0,"",INDEX(Input!$H$17:$H$36,MATCH($H103,Input!$O$17:$O$36,0)))</f>
        <v>52</v>
      </c>
      <c r="N103" s="150">
        <f>INDEX(HBF!$M$3:$M$22,MATCH($H103,Input!$O$17:$O$36,0))</f>
        <v>0.16092850923152568</v>
      </c>
      <c r="O103" s="150">
        <f>INDEX(HBF!$N$3:$N$22,MATCH($H103,Input!$O$17:$O$36,0))</f>
        <v>0.10337785280927153</v>
      </c>
      <c r="P103" s="178">
        <f>INDEX(HBF!$O$3:$O$22,MATCH($H103,Input!$O$17:$O$36,0))</f>
        <v>1.5567019904005268</v>
      </c>
      <c r="Q103" s="178">
        <f>INDEX(HBF!$P$3:$P$22,MATCH($H103,Input!$O$17:$O$36,0))</f>
        <v>0</v>
      </c>
      <c r="R103" s="150">
        <f>INDEX(HBF!$F$3:$F$22,MATCH($H103,Input!$O$17:$O$36,0))</f>
        <v>0.153079441010748</v>
      </c>
      <c r="S103" s="150">
        <f>INDEX(HBF!$H$3:$H$22,MATCH($H103,Input!$O$17:$O$36,0))</f>
        <v>0.28849633342122288</v>
      </c>
      <c r="T103" s="178">
        <f>INDEX(HBF!$I$3:$I$22,MATCH($H103,Input!$O$17:$O$36,0))</f>
        <v>0.53061139181704031</v>
      </c>
      <c r="U103" s="178">
        <f>INDEX(HBF!$K$3:$K$22,MATCH($H103,Input!$O$17:$O$36,0))</f>
        <v>3.4236031609344622</v>
      </c>
      <c r="V103" s="150">
        <f>INDEX(HBF!$R$3:$R$22,MATCH($H103,Input!$O$17:$O$36,0))</f>
        <v>0.1458101449802971</v>
      </c>
      <c r="W103" s="150">
        <f>INDEX(HBF!$S$3:$S$22,MATCH($H103,Input!$O$17:$O$36,0))</f>
        <v>0.38466177789496397</v>
      </c>
      <c r="X103" s="178">
        <f>INDEX(HBF!$T$3:$T$22,MATCH($H103,Input!$O$17:$O$36,0))</f>
        <v>0.37906065369487302</v>
      </c>
      <c r="Y103" s="178">
        <f>INDEX(HBF!$U$3:$U$22,MATCH($H103,Input!$O$17:$O$36,0))</f>
        <v>4.5289763571130193</v>
      </c>
      <c r="Z103" s="86"/>
      <c r="AA103" s="1"/>
      <c r="AB103" s="1"/>
      <c r="AC103" s="54"/>
      <c r="AD103" s="55"/>
      <c r="AE103" s="56"/>
      <c r="AF103" s="2"/>
      <c r="AG103" s="2"/>
      <c r="AH103" s="2"/>
      <c r="AI103" s="2"/>
      <c r="AJ103" s="2"/>
      <c r="AK103" s="2"/>
      <c r="AL103" s="2"/>
      <c r="AM103" s="2"/>
      <c r="AN103" s="2"/>
      <c r="AO103" s="2"/>
      <c r="AP103" s="2"/>
      <c r="AQ103" s="2"/>
    </row>
    <row r="104" spans="1:43" ht="2.25" customHeight="1">
      <c r="A104" s="2"/>
      <c r="B104" s="4"/>
      <c r="C104" s="179"/>
      <c r="D10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4" s="103"/>
      <c r="F104" s="93"/>
      <c r="G104" s="94"/>
      <c r="H104" s="178"/>
      <c r="I104" s="187"/>
      <c r="J104" s="178"/>
      <c r="K104" s="178"/>
      <c r="L104" s="178"/>
      <c r="M104" s="187"/>
      <c r="N104" s="150"/>
      <c r="O104" s="150"/>
      <c r="P104" s="178"/>
      <c r="Q104" s="178"/>
      <c r="R104" s="150"/>
      <c r="S104" s="150"/>
      <c r="T104" s="178"/>
      <c r="U104" s="178"/>
      <c r="V104" s="150"/>
      <c r="W104" s="150"/>
      <c r="X104" s="178"/>
      <c r="Y104" s="178"/>
      <c r="Z104" s="86"/>
      <c r="AA104" s="1"/>
      <c r="AB104" s="1"/>
      <c r="AC104" s="54"/>
      <c r="AD104" s="55"/>
      <c r="AE104" s="56"/>
      <c r="AF104" s="2"/>
      <c r="AG104" s="2"/>
      <c r="AH104" s="2"/>
      <c r="AI104" s="2"/>
      <c r="AJ104" s="2"/>
      <c r="AK104" s="2"/>
      <c r="AL104" s="2"/>
      <c r="AM104" s="2"/>
      <c r="AN104" s="2"/>
      <c r="AO104" s="2"/>
      <c r="AP104" s="2"/>
      <c r="AQ104" s="2"/>
    </row>
    <row r="105" spans="1:43" ht="2.25" customHeight="1">
      <c r="A105" s="2"/>
      <c r="B105" s="4"/>
      <c r="C105" s="180"/>
      <c r="D10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5" s="103"/>
      <c r="F105" s="93"/>
      <c r="G105" s="94"/>
      <c r="H105" s="178"/>
      <c r="I105" s="187"/>
      <c r="J105" s="178"/>
      <c r="K105" s="178"/>
      <c r="L105" s="178"/>
      <c r="M105" s="187"/>
      <c r="N105" s="150"/>
      <c r="O105" s="150"/>
      <c r="P105" s="178"/>
      <c r="Q105" s="178"/>
      <c r="R105" s="150"/>
      <c r="S105" s="150"/>
      <c r="T105" s="178"/>
      <c r="U105" s="178"/>
      <c r="V105" s="150"/>
      <c r="W105" s="150"/>
      <c r="X105" s="178"/>
      <c r="Y105" s="178"/>
      <c r="Z105" s="86"/>
      <c r="AA105" s="1"/>
      <c r="AB105" s="1"/>
      <c r="AC105" s="54"/>
      <c r="AD105" s="55"/>
      <c r="AE105" s="56"/>
      <c r="AF105" s="2"/>
      <c r="AG105" s="2"/>
      <c r="AH105" s="2"/>
      <c r="AI105" s="2"/>
      <c r="AJ105" s="2"/>
      <c r="AK105" s="2"/>
      <c r="AL105" s="2"/>
      <c r="AM105" s="2"/>
      <c r="AN105" s="2"/>
      <c r="AO105" s="2"/>
      <c r="AP105" s="2"/>
      <c r="AQ105" s="2"/>
    </row>
    <row r="106" spans="1:43" ht="2.25" customHeight="1">
      <c r="A106" s="2"/>
      <c r="B106" s="4"/>
      <c r="C106" s="180"/>
      <c r="D10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6" s="103"/>
      <c r="F106" s="93"/>
      <c r="G106" s="94"/>
      <c r="H106" s="178"/>
      <c r="I106" s="187"/>
      <c r="J106" s="178"/>
      <c r="K106" s="178"/>
      <c r="L106" s="178"/>
      <c r="M106" s="187"/>
      <c r="N106" s="150"/>
      <c r="O106" s="150"/>
      <c r="P106" s="178"/>
      <c r="Q106" s="178"/>
      <c r="R106" s="150"/>
      <c r="S106" s="150"/>
      <c r="T106" s="178"/>
      <c r="U106" s="178"/>
      <c r="V106" s="150"/>
      <c r="W106" s="150"/>
      <c r="X106" s="178"/>
      <c r="Y106" s="178"/>
      <c r="Z106" s="86"/>
      <c r="AA106" s="1"/>
      <c r="AB106" s="1"/>
      <c r="AC106" s="54"/>
      <c r="AD106" s="55"/>
      <c r="AE106" s="56"/>
      <c r="AF106" s="2"/>
      <c r="AG106" s="2"/>
      <c r="AH106" s="2"/>
      <c r="AI106" s="2"/>
      <c r="AJ106" s="2"/>
      <c r="AK106" s="2"/>
      <c r="AL106" s="2"/>
      <c r="AM106" s="2"/>
      <c r="AN106" s="2"/>
      <c r="AO106" s="2"/>
      <c r="AP106" s="2"/>
      <c r="AQ106" s="2"/>
    </row>
    <row r="107" spans="1:43" ht="2.25" customHeight="1">
      <c r="A107" s="2"/>
      <c r="B107" s="4"/>
      <c r="C107" s="180"/>
      <c r="D10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7" s="103"/>
      <c r="F107" s="93"/>
      <c r="G107" s="94"/>
      <c r="H107" s="178"/>
      <c r="I107" s="187"/>
      <c r="J107" s="178"/>
      <c r="K107" s="178"/>
      <c r="L107" s="178"/>
      <c r="M107" s="187"/>
      <c r="N107" s="150"/>
      <c r="O107" s="150"/>
      <c r="P107" s="178"/>
      <c r="Q107" s="178"/>
      <c r="R107" s="150"/>
      <c r="S107" s="150"/>
      <c r="T107" s="178"/>
      <c r="U107" s="178"/>
      <c r="V107" s="150"/>
      <c r="W107" s="150"/>
      <c r="X107" s="178"/>
      <c r="Y107" s="178"/>
      <c r="Z107" s="86"/>
      <c r="AA107" s="1"/>
      <c r="AB107" s="1"/>
      <c r="AC107" s="54"/>
      <c r="AD107" s="55"/>
      <c r="AE107" s="56"/>
      <c r="AF107" s="2"/>
      <c r="AG107" s="2"/>
      <c r="AH107" s="2"/>
      <c r="AI107" s="2"/>
      <c r="AJ107" s="2"/>
      <c r="AK107" s="2"/>
      <c r="AL107" s="2"/>
      <c r="AM107" s="2"/>
      <c r="AN107" s="2"/>
      <c r="AO107" s="2"/>
      <c r="AP107" s="2"/>
      <c r="AQ107" s="2"/>
    </row>
    <row r="108" spans="1:43" ht="2.25" customHeight="1">
      <c r="A108" s="2"/>
      <c r="B108" s="4"/>
      <c r="C108" s="179"/>
      <c r="D10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8" s="53"/>
      <c r="F108" s="93"/>
      <c r="G108" s="94"/>
      <c r="H108" s="178"/>
      <c r="I108" s="187"/>
      <c r="J108" s="178"/>
      <c r="K108" s="178"/>
      <c r="L108" s="178"/>
      <c r="M108" s="187"/>
      <c r="N108" s="150"/>
      <c r="O108" s="150"/>
      <c r="P108" s="178"/>
      <c r="Q108" s="178"/>
      <c r="R108" s="150"/>
      <c r="S108" s="150"/>
      <c r="T108" s="178"/>
      <c r="U108" s="178"/>
      <c r="V108" s="150"/>
      <c r="W108" s="150"/>
      <c r="X108" s="178"/>
      <c r="Y108" s="178"/>
      <c r="Z108" s="86"/>
      <c r="AA108" s="1"/>
      <c r="AB108" s="1"/>
      <c r="AC108" s="54"/>
      <c r="AD108" s="55"/>
      <c r="AE108" s="56"/>
      <c r="AF108" s="2"/>
      <c r="AG108" s="2"/>
      <c r="AH108" s="2"/>
      <c r="AI108" s="2"/>
      <c r="AJ108" s="2"/>
      <c r="AK108" s="2"/>
      <c r="AL108" s="2"/>
      <c r="AM108" s="2"/>
      <c r="AN108" s="2"/>
      <c r="AO108" s="2"/>
      <c r="AP108" s="2"/>
      <c r="AQ108" s="2"/>
    </row>
    <row r="109" spans="1:43" ht="2.25" customHeight="1">
      <c r="A109" s="2"/>
      <c r="B109" s="4"/>
      <c r="C109" s="180"/>
      <c r="D10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09" s="53"/>
      <c r="F109" s="93"/>
      <c r="G109" s="94"/>
      <c r="H109" s="178"/>
      <c r="I109" s="187"/>
      <c r="J109" s="178"/>
      <c r="K109" s="178"/>
      <c r="L109" s="178"/>
      <c r="M109" s="187"/>
      <c r="N109" s="150"/>
      <c r="O109" s="150"/>
      <c r="P109" s="178"/>
      <c r="Q109" s="178"/>
      <c r="R109" s="150"/>
      <c r="S109" s="150"/>
      <c r="T109" s="178"/>
      <c r="U109" s="178"/>
      <c r="V109" s="150"/>
      <c r="W109" s="150"/>
      <c r="X109" s="178"/>
      <c r="Y109" s="178"/>
      <c r="Z109" s="86"/>
      <c r="AA109" s="1"/>
      <c r="AB109" s="1"/>
      <c r="AC109" s="54"/>
      <c r="AD109" s="55"/>
      <c r="AE109" s="56"/>
      <c r="AF109" s="2"/>
      <c r="AG109" s="2"/>
      <c r="AH109" s="2"/>
      <c r="AI109" s="2"/>
      <c r="AJ109" s="2"/>
      <c r="AK109" s="2"/>
      <c r="AL109" s="2"/>
      <c r="AM109" s="2"/>
      <c r="AN109" s="2"/>
      <c r="AO109" s="2"/>
      <c r="AP109" s="2"/>
      <c r="AQ109" s="2"/>
    </row>
    <row r="110" spans="1:43" ht="2.25" customHeight="1">
      <c r="A110" s="2"/>
      <c r="B110" s="4"/>
      <c r="C110" s="180"/>
      <c r="D11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0" s="53"/>
      <c r="F110" s="93"/>
      <c r="G110" s="94"/>
      <c r="H110" s="178"/>
      <c r="I110" s="187"/>
      <c r="J110" s="178"/>
      <c r="K110" s="178"/>
      <c r="L110" s="178"/>
      <c r="M110" s="187"/>
      <c r="N110" s="150"/>
      <c r="O110" s="150"/>
      <c r="P110" s="178"/>
      <c r="Q110" s="178"/>
      <c r="R110" s="150"/>
      <c r="S110" s="150"/>
      <c r="T110" s="178"/>
      <c r="U110" s="178"/>
      <c r="V110" s="150"/>
      <c r="W110" s="150"/>
      <c r="X110" s="178"/>
      <c r="Y110" s="178"/>
      <c r="Z110" s="86"/>
      <c r="AA110" s="1"/>
      <c r="AB110" s="1"/>
      <c r="AC110" s="54"/>
      <c r="AD110" s="55"/>
      <c r="AE110" s="56"/>
      <c r="AF110" s="2"/>
      <c r="AG110" s="2"/>
      <c r="AH110" s="2"/>
      <c r="AI110" s="2"/>
      <c r="AJ110" s="2"/>
      <c r="AK110" s="2"/>
      <c r="AL110" s="2"/>
      <c r="AM110" s="2"/>
      <c r="AN110" s="2"/>
      <c r="AO110" s="2"/>
      <c r="AP110" s="2"/>
      <c r="AQ110" s="2"/>
    </row>
    <row r="111" spans="1:43" ht="2.25" customHeight="1">
      <c r="A111" s="2"/>
      <c r="B111" s="4"/>
      <c r="C111" s="180"/>
      <c r="D11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1" s="53"/>
      <c r="F111" s="93"/>
      <c r="G111" s="94"/>
      <c r="H111" s="178"/>
      <c r="I111" s="187"/>
      <c r="J111" s="178"/>
      <c r="K111" s="178"/>
      <c r="L111" s="178"/>
      <c r="M111" s="187"/>
      <c r="N111" s="150"/>
      <c r="O111" s="150"/>
      <c r="P111" s="178"/>
      <c r="Q111" s="178"/>
      <c r="R111" s="150"/>
      <c r="S111" s="150"/>
      <c r="T111" s="178"/>
      <c r="U111" s="178"/>
      <c r="V111" s="150"/>
      <c r="W111" s="150"/>
      <c r="X111" s="178"/>
      <c r="Y111" s="178"/>
      <c r="Z111" s="86"/>
      <c r="AA111" s="1"/>
      <c r="AB111" s="1"/>
      <c r="AC111" s="54"/>
      <c r="AD111" s="55"/>
      <c r="AE111" s="56"/>
      <c r="AF111" s="2"/>
      <c r="AG111" s="2"/>
      <c r="AH111" s="2"/>
      <c r="AI111" s="2"/>
      <c r="AJ111" s="2"/>
      <c r="AK111" s="2"/>
      <c r="AL111" s="2"/>
      <c r="AM111" s="2"/>
      <c r="AN111" s="2"/>
      <c r="AO111" s="2"/>
      <c r="AP111" s="2"/>
      <c r="AQ111" s="2"/>
    </row>
    <row r="112" spans="1:43" ht="2.25" customHeight="1">
      <c r="A112" s="2"/>
      <c r="B112" s="4"/>
      <c r="C112" s="179"/>
      <c r="D11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2" s="53"/>
      <c r="F112" s="93"/>
      <c r="G112" s="94"/>
      <c r="H112" s="178"/>
      <c r="I112" s="187"/>
      <c r="J112" s="178"/>
      <c r="K112" s="178"/>
      <c r="L112" s="178"/>
      <c r="M112" s="187"/>
      <c r="N112" s="150"/>
      <c r="O112" s="150"/>
      <c r="P112" s="178"/>
      <c r="Q112" s="178"/>
      <c r="R112" s="150"/>
      <c r="S112" s="150"/>
      <c r="T112" s="178"/>
      <c r="U112" s="178"/>
      <c r="V112" s="150"/>
      <c r="W112" s="150"/>
      <c r="X112" s="178"/>
      <c r="Y112" s="178"/>
      <c r="Z112" s="86"/>
      <c r="AA112" s="1"/>
      <c r="AB112" s="1"/>
      <c r="AC112" s="54"/>
      <c r="AD112" s="55"/>
      <c r="AE112" s="56"/>
      <c r="AF112" s="2"/>
      <c r="AG112" s="2"/>
      <c r="AH112" s="2"/>
      <c r="AI112" s="2"/>
      <c r="AJ112" s="2"/>
      <c r="AK112" s="2"/>
      <c r="AL112" s="2"/>
      <c r="AM112" s="2"/>
      <c r="AN112" s="2"/>
      <c r="AO112" s="2"/>
      <c r="AP112" s="2"/>
      <c r="AQ112" s="2"/>
    </row>
    <row r="113" spans="1:43" ht="2.25" customHeight="1">
      <c r="A113" s="2"/>
      <c r="B113" s="4"/>
      <c r="C113" s="180"/>
      <c r="D11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3" s="53"/>
      <c r="F113" s="93"/>
      <c r="G113" s="94"/>
      <c r="H113" s="178"/>
      <c r="I113" s="187"/>
      <c r="J113" s="178"/>
      <c r="K113" s="178"/>
      <c r="L113" s="178"/>
      <c r="M113" s="187"/>
      <c r="N113" s="150"/>
      <c r="O113" s="150"/>
      <c r="P113" s="178"/>
      <c r="Q113" s="178"/>
      <c r="R113" s="150"/>
      <c r="S113" s="150"/>
      <c r="T113" s="178"/>
      <c r="U113" s="178"/>
      <c r="V113" s="150"/>
      <c r="W113" s="150"/>
      <c r="X113" s="178"/>
      <c r="Y113" s="178"/>
      <c r="Z113" s="86"/>
      <c r="AA113" s="1"/>
      <c r="AB113" s="1"/>
      <c r="AC113" s="54"/>
      <c r="AD113" s="55"/>
      <c r="AE113" s="56"/>
      <c r="AF113" s="2"/>
      <c r="AG113" s="2"/>
      <c r="AH113" s="2"/>
      <c r="AI113" s="2"/>
      <c r="AJ113" s="2"/>
      <c r="AK113" s="2"/>
      <c r="AL113" s="2"/>
      <c r="AM113" s="2"/>
      <c r="AN113" s="2"/>
      <c r="AO113" s="2"/>
      <c r="AP113" s="2"/>
      <c r="AQ113" s="2"/>
    </row>
    <row r="114" spans="1:43" ht="2.25" customHeight="1">
      <c r="A114" s="2"/>
      <c r="B114" s="4"/>
      <c r="C114" s="180"/>
      <c r="D11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4" s="53"/>
      <c r="F114" s="93"/>
      <c r="G114" s="94"/>
      <c r="H114" s="178"/>
      <c r="I114" s="187"/>
      <c r="J114" s="178"/>
      <c r="K114" s="178"/>
      <c r="L114" s="178"/>
      <c r="M114" s="187"/>
      <c r="N114" s="150"/>
      <c r="O114" s="150"/>
      <c r="P114" s="178"/>
      <c r="Q114" s="178"/>
      <c r="R114" s="150"/>
      <c r="S114" s="150"/>
      <c r="T114" s="178"/>
      <c r="U114" s="178"/>
      <c r="V114" s="150"/>
      <c r="W114" s="150"/>
      <c r="X114" s="178"/>
      <c r="Y114" s="178"/>
      <c r="Z114" s="86"/>
      <c r="AA114" s="1"/>
      <c r="AB114" s="1"/>
      <c r="AC114" s="54"/>
      <c r="AD114" s="55"/>
      <c r="AE114" s="56"/>
      <c r="AF114" s="2"/>
      <c r="AG114" s="2"/>
      <c r="AH114" s="2"/>
      <c r="AI114" s="2"/>
      <c r="AJ114" s="2"/>
      <c r="AK114" s="2"/>
      <c r="AL114" s="2"/>
      <c r="AM114" s="2"/>
      <c r="AN114" s="2"/>
      <c r="AO114" s="2"/>
      <c r="AP114" s="2"/>
      <c r="AQ114" s="2"/>
    </row>
    <row r="115" spans="1:43" ht="2.25" customHeight="1">
      <c r="A115" s="2"/>
      <c r="B115" s="4"/>
      <c r="C115" s="180"/>
      <c r="D11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5" s="53"/>
      <c r="F115" s="93"/>
      <c r="G115" s="94"/>
      <c r="H115" s="178"/>
      <c r="I115" s="187"/>
      <c r="J115" s="178"/>
      <c r="K115" s="178"/>
      <c r="L115" s="178"/>
      <c r="M115" s="187"/>
      <c r="N115" s="150"/>
      <c r="O115" s="150"/>
      <c r="P115" s="178"/>
      <c r="Q115" s="178"/>
      <c r="R115" s="150"/>
      <c r="S115" s="150"/>
      <c r="T115" s="178"/>
      <c r="U115" s="178"/>
      <c r="V115" s="150"/>
      <c r="W115" s="150"/>
      <c r="X115" s="178"/>
      <c r="Y115" s="178"/>
      <c r="Z115" s="86"/>
      <c r="AA115" s="1"/>
      <c r="AB115" s="1"/>
      <c r="AC115" s="54"/>
      <c r="AD115" s="55"/>
      <c r="AE115" s="56"/>
      <c r="AF115" s="2"/>
      <c r="AG115" s="2"/>
      <c r="AH115" s="2"/>
      <c r="AI115" s="2"/>
      <c r="AJ115" s="2"/>
      <c r="AK115" s="2"/>
      <c r="AL115" s="2"/>
      <c r="AM115" s="2"/>
      <c r="AN115" s="2"/>
      <c r="AO115" s="2"/>
      <c r="AP115" s="2"/>
      <c r="AQ115" s="2"/>
    </row>
    <row r="116" spans="1:43" ht="2.25" customHeight="1">
      <c r="A116" s="2"/>
      <c r="B116" s="4"/>
      <c r="C116" s="179"/>
      <c r="D11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6" s="53"/>
      <c r="F116" s="93"/>
      <c r="G116" s="94"/>
      <c r="H116" s="178"/>
      <c r="I116" s="187"/>
      <c r="J116" s="178"/>
      <c r="K116" s="178"/>
      <c r="L116" s="178"/>
      <c r="M116" s="187"/>
      <c r="N116" s="150"/>
      <c r="O116" s="150"/>
      <c r="P116" s="178"/>
      <c r="Q116" s="178"/>
      <c r="R116" s="150"/>
      <c r="S116" s="150"/>
      <c r="T116" s="178"/>
      <c r="U116" s="178"/>
      <c r="V116" s="150"/>
      <c r="W116" s="150"/>
      <c r="X116" s="178"/>
      <c r="Y116" s="178"/>
      <c r="Z116" s="86"/>
      <c r="AA116" s="1"/>
      <c r="AB116" s="1"/>
      <c r="AC116" s="54"/>
      <c r="AD116" s="55"/>
      <c r="AE116" s="56"/>
      <c r="AF116" s="2"/>
      <c r="AG116" s="2"/>
      <c r="AH116" s="2"/>
      <c r="AI116" s="2"/>
      <c r="AJ116" s="2"/>
      <c r="AK116" s="2"/>
      <c r="AL116" s="2"/>
      <c r="AM116" s="2"/>
      <c r="AN116" s="2"/>
      <c r="AO116" s="2"/>
      <c r="AP116" s="2"/>
      <c r="AQ116" s="2"/>
    </row>
    <row r="117" spans="1:43" ht="2.25" customHeight="1">
      <c r="A117" s="2"/>
      <c r="B117" s="4"/>
      <c r="C117" s="180"/>
      <c r="D11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7" s="53"/>
      <c r="F117" s="93"/>
      <c r="G117" s="94"/>
      <c r="H117" s="178"/>
      <c r="I117" s="187"/>
      <c r="J117" s="178"/>
      <c r="K117" s="178"/>
      <c r="L117" s="178"/>
      <c r="M117" s="187"/>
      <c r="N117" s="150"/>
      <c r="O117" s="150"/>
      <c r="P117" s="178"/>
      <c r="Q117" s="178"/>
      <c r="R117" s="150"/>
      <c r="S117" s="150"/>
      <c r="T117" s="178"/>
      <c r="U117" s="178"/>
      <c r="V117" s="150"/>
      <c r="W117" s="150"/>
      <c r="X117" s="178"/>
      <c r="Y117" s="178"/>
      <c r="Z117" s="86"/>
      <c r="AA117" s="1"/>
      <c r="AB117" s="1"/>
      <c r="AC117" s="54"/>
      <c r="AD117" s="55"/>
      <c r="AE117" s="56"/>
      <c r="AF117" s="2"/>
      <c r="AG117" s="2"/>
      <c r="AH117" s="2"/>
      <c r="AI117" s="2"/>
      <c r="AJ117" s="2"/>
      <c r="AK117" s="2"/>
      <c r="AL117" s="2"/>
      <c r="AM117" s="2"/>
      <c r="AN117" s="2"/>
      <c r="AO117" s="2"/>
      <c r="AP117" s="2"/>
      <c r="AQ117" s="2"/>
    </row>
    <row r="118" spans="1:43" ht="2.25" customHeight="1">
      <c r="A118" s="2"/>
      <c r="B118" s="4"/>
      <c r="C118" s="180"/>
      <c r="D11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8" s="53"/>
      <c r="F118" s="93"/>
      <c r="G118" s="94"/>
      <c r="H118" s="178">
        <f>IF(TYPE(MATCH(20*(ROW()-7)/200,Input!$L$17:$L$36,1))&lt;&gt;16,IF(20*(ROW()-7)/200&gt;MAX(Input!$L$17:$L$36),"",INDEX(Input!$O$17:$O$36,MATCH(20*(ROW()-7)/200,Input!$L$17:$L$36,1)+1)),Input!$O$17)</f>
        <v>11.775</v>
      </c>
      <c r="I118" s="187">
        <f>IF(H118="","",INDEX(Input!$G$17:$G$36,MATCH($H118,Input!$O$17:$O$36,0)))</f>
        <v>8</v>
      </c>
      <c r="J118" s="178">
        <f>IF(INDEX(Input!$C$17:$C$36,MATCH($H118,Input!$O$17:$O$36,0))=0,"",INDEX(Input!$C$17:$C$36,MATCH($H118,Input!$O$17:$O$36,0)))</f>
        <v>19.28</v>
      </c>
      <c r="K118" s="178">
        <f>IF(INDEX(Input!$P$17:$P$36,MATCH($H118,Input!$O$17:$O$36,0))=0,"",INDEX(Input!$P$17:$P$36,MATCH($H118,Input!$O$17:$O$36,0)))</f>
        <v>222.91800000000001</v>
      </c>
      <c r="L118" s="178">
        <f>IF(INDEX(Input!$Q$17:$Q$36,MATCH($H118,Input!$O$17:$O$36,0))=0,"",INDEX(Input!$Q$17:$Q$36,MATCH($H118,Input!$O$17:$O$36,0)))</f>
        <v>107.40525</v>
      </c>
      <c r="M118" s="187">
        <f>IF(INDEX(Input!$H$17:$H$36,MATCH($H118,Input!$O$17:$O$36,0))=0,"",INDEX(Input!$H$17:$H$36,MATCH($H118,Input!$O$17:$O$36,0)))</f>
        <v>54</v>
      </c>
      <c r="N118" s="150">
        <f>INDEX(HBF!$M$3:$M$22,MATCH($H118,Input!$O$17:$O$36,0))</f>
        <v>0.16945085626576939</v>
      </c>
      <c r="O118" s="150">
        <f>INDEX(HBF!$N$3:$N$22,MATCH($H118,Input!$O$17:$O$36,0))</f>
        <v>9.8239612517544525E-2</v>
      </c>
      <c r="P118" s="178">
        <f>INDEX(HBF!$O$3:$O$22,MATCH($H118,Input!$O$17:$O$36,0))</f>
        <v>1.7248730112357407</v>
      </c>
      <c r="Q118" s="178">
        <f>INDEX(HBF!$P$3:$P$22,MATCH($H118,Input!$O$17:$O$36,0))</f>
        <v>0</v>
      </c>
      <c r="R118" s="150">
        <f>INDEX(HBF!$F$3:$F$22,MATCH($H118,Input!$O$17:$O$36,0))</f>
        <v>0.16118612220932127</v>
      </c>
      <c r="S118" s="150">
        <f>INDEX(HBF!$H$3:$H$22,MATCH($H118,Input!$O$17:$O$36,0))</f>
        <v>0.27415705818849634</v>
      </c>
      <c r="T118" s="178">
        <f>INDEX(HBF!$I$3:$I$22,MATCH($H118,Input!$O$17:$O$36,0))</f>
        <v>0.58793351254337556</v>
      </c>
      <c r="U118" s="178">
        <f>INDEX(HBF!$K$3:$K$22,MATCH($H118,Input!$O$17:$O$36,0))</f>
        <v>2.5419351444980518</v>
      </c>
      <c r="V118" s="150">
        <f>INDEX(HBF!$R$3:$R$22,MATCH($H118,Input!$O$17:$O$36,0))</f>
        <v>0.15353186354072759</v>
      </c>
      <c r="W118" s="150">
        <f>INDEX(HBF!$S$3:$S$22,MATCH($H118,Input!$O$17:$O$36,0))</f>
        <v>0.36554274425132849</v>
      </c>
      <c r="X118" s="178">
        <f>INDEX(HBF!$T$3:$T$22,MATCH($H118,Input!$O$17:$O$36,0))</f>
        <v>0.420010699036518</v>
      </c>
      <c r="Y118" s="178">
        <f>INDEX(HBF!$U$3:$U$22,MATCH($H118,Input!$O$17:$O$36,0))</f>
        <v>3.5778090003184793</v>
      </c>
      <c r="Z118" s="86"/>
      <c r="AA118" s="1"/>
      <c r="AB118" s="1"/>
      <c r="AC118" s="54"/>
      <c r="AD118" s="55"/>
      <c r="AE118" s="56"/>
      <c r="AF118" s="2"/>
      <c r="AG118" s="2"/>
      <c r="AH118" s="2"/>
      <c r="AI118" s="2"/>
      <c r="AJ118" s="2"/>
      <c r="AK118" s="2"/>
      <c r="AL118" s="2"/>
      <c r="AM118" s="2"/>
      <c r="AN118" s="2"/>
      <c r="AO118" s="2"/>
      <c r="AP118" s="2"/>
      <c r="AQ118" s="2"/>
    </row>
    <row r="119" spans="1:43" ht="2.25" customHeight="1">
      <c r="A119" s="2"/>
      <c r="B119" s="4"/>
      <c r="C119" s="180"/>
      <c r="D11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19" s="53"/>
      <c r="F119" s="93"/>
      <c r="G119" s="94"/>
      <c r="H119" s="178"/>
      <c r="I119" s="187"/>
      <c r="J119" s="178"/>
      <c r="K119" s="178"/>
      <c r="L119" s="178"/>
      <c r="M119" s="187"/>
      <c r="N119" s="150"/>
      <c r="O119" s="150"/>
      <c r="P119" s="178"/>
      <c r="Q119" s="178"/>
      <c r="R119" s="150"/>
      <c r="S119" s="150"/>
      <c r="T119" s="178"/>
      <c r="U119" s="178"/>
      <c r="V119" s="150"/>
      <c r="W119" s="150"/>
      <c r="X119" s="178"/>
      <c r="Y119" s="178"/>
      <c r="Z119" s="86"/>
      <c r="AA119" s="1"/>
      <c r="AB119" s="1"/>
      <c r="AC119" s="54"/>
      <c r="AD119" s="55"/>
      <c r="AE119" s="56"/>
      <c r="AF119" s="2"/>
      <c r="AG119" s="2"/>
      <c r="AH119" s="2"/>
      <c r="AI119" s="2"/>
      <c r="AJ119" s="2"/>
      <c r="AK119" s="2"/>
      <c r="AL119" s="2"/>
      <c r="AM119" s="2"/>
      <c r="AN119" s="2"/>
      <c r="AO119" s="2"/>
      <c r="AP119" s="2"/>
      <c r="AQ119" s="2"/>
    </row>
    <row r="120" spans="1:43" ht="2.25" customHeight="1">
      <c r="A120" s="2"/>
      <c r="B120" s="4"/>
      <c r="C120" s="179"/>
      <c r="D12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0" s="53"/>
      <c r="F120" s="93"/>
      <c r="G120" s="94"/>
      <c r="H120" s="178"/>
      <c r="I120" s="187"/>
      <c r="J120" s="178"/>
      <c r="K120" s="178"/>
      <c r="L120" s="178"/>
      <c r="M120" s="187"/>
      <c r="N120" s="150"/>
      <c r="O120" s="150"/>
      <c r="P120" s="178"/>
      <c r="Q120" s="178"/>
      <c r="R120" s="150"/>
      <c r="S120" s="150"/>
      <c r="T120" s="178"/>
      <c r="U120" s="178"/>
      <c r="V120" s="150"/>
      <c r="W120" s="150"/>
      <c r="X120" s="178"/>
      <c r="Y120" s="178"/>
      <c r="Z120" s="86"/>
      <c r="AA120" s="1"/>
      <c r="AB120" s="1"/>
      <c r="AC120" s="54"/>
      <c r="AD120" s="55"/>
      <c r="AE120" s="56"/>
      <c r="AF120" s="2"/>
      <c r="AG120" s="2"/>
      <c r="AH120" s="2"/>
      <c r="AI120" s="2"/>
      <c r="AJ120" s="2"/>
      <c r="AK120" s="2"/>
      <c r="AL120" s="2"/>
      <c r="AM120" s="2"/>
      <c r="AN120" s="2"/>
      <c r="AO120" s="2"/>
      <c r="AP120" s="2"/>
      <c r="AQ120" s="2"/>
    </row>
    <row r="121" spans="1:43" ht="2.25" customHeight="1">
      <c r="A121" s="2"/>
      <c r="B121" s="4"/>
      <c r="C121" s="180"/>
      <c r="D12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1" s="53"/>
      <c r="F121" s="93"/>
      <c r="G121" s="94"/>
      <c r="H121" s="178"/>
      <c r="I121" s="187"/>
      <c r="J121" s="178"/>
      <c r="K121" s="178"/>
      <c r="L121" s="178"/>
      <c r="M121" s="187"/>
      <c r="N121" s="150"/>
      <c r="O121" s="150"/>
      <c r="P121" s="178"/>
      <c r="Q121" s="178"/>
      <c r="R121" s="150"/>
      <c r="S121" s="150"/>
      <c r="T121" s="178"/>
      <c r="U121" s="178"/>
      <c r="V121" s="150"/>
      <c r="W121" s="150"/>
      <c r="X121" s="178"/>
      <c r="Y121" s="178"/>
      <c r="Z121" s="86"/>
      <c r="AA121" s="1"/>
      <c r="AB121" s="1"/>
      <c r="AC121" s="54"/>
      <c r="AD121" s="55"/>
      <c r="AE121" s="56"/>
      <c r="AF121" s="2"/>
      <c r="AG121" s="2"/>
      <c r="AH121" s="2"/>
      <c r="AI121" s="2"/>
      <c r="AJ121" s="2"/>
      <c r="AK121" s="2"/>
      <c r="AL121" s="2"/>
      <c r="AM121" s="2"/>
      <c r="AN121" s="2"/>
      <c r="AO121" s="2"/>
      <c r="AP121" s="2"/>
      <c r="AQ121" s="2"/>
    </row>
    <row r="122" spans="1:43" ht="2.25" customHeight="1">
      <c r="A122" s="2"/>
      <c r="B122" s="4"/>
      <c r="C122" s="180"/>
      <c r="D12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2" s="53"/>
      <c r="F122" s="93"/>
      <c r="G122" s="94"/>
      <c r="H122" s="178"/>
      <c r="I122" s="187"/>
      <c r="J122" s="178"/>
      <c r="K122" s="178"/>
      <c r="L122" s="178"/>
      <c r="M122" s="187"/>
      <c r="N122" s="150"/>
      <c r="O122" s="150"/>
      <c r="P122" s="178"/>
      <c r="Q122" s="178"/>
      <c r="R122" s="150"/>
      <c r="S122" s="150"/>
      <c r="T122" s="178"/>
      <c r="U122" s="178"/>
      <c r="V122" s="150"/>
      <c r="W122" s="150"/>
      <c r="X122" s="178"/>
      <c r="Y122" s="178"/>
      <c r="Z122" s="86"/>
      <c r="AA122" s="1"/>
      <c r="AB122" s="1"/>
      <c r="AC122" s="54"/>
      <c r="AD122" s="55"/>
      <c r="AE122" s="56"/>
      <c r="AF122" s="2"/>
      <c r="AG122" s="2"/>
      <c r="AH122" s="2"/>
      <c r="AI122" s="2"/>
      <c r="AJ122" s="2"/>
      <c r="AK122" s="2"/>
      <c r="AL122" s="2"/>
      <c r="AM122" s="2"/>
      <c r="AN122" s="2"/>
      <c r="AO122" s="2"/>
      <c r="AP122" s="2"/>
      <c r="AQ122" s="2"/>
    </row>
    <row r="123" spans="1:43" ht="2.25" customHeight="1">
      <c r="A123" s="2"/>
      <c r="B123" s="4"/>
      <c r="C123" s="180"/>
      <c r="D12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3" s="53"/>
      <c r="F123" s="93"/>
      <c r="G123" s="94"/>
      <c r="H123" s="178"/>
      <c r="I123" s="187"/>
      <c r="J123" s="178"/>
      <c r="K123" s="178"/>
      <c r="L123" s="178"/>
      <c r="M123" s="187"/>
      <c r="N123" s="150"/>
      <c r="O123" s="150"/>
      <c r="P123" s="178"/>
      <c r="Q123" s="178"/>
      <c r="R123" s="150"/>
      <c r="S123" s="150"/>
      <c r="T123" s="178"/>
      <c r="U123" s="178"/>
      <c r="V123" s="150"/>
      <c r="W123" s="150"/>
      <c r="X123" s="178"/>
      <c r="Y123" s="178"/>
      <c r="Z123" s="86"/>
      <c r="AA123" s="1"/>
      <c r="AB123" s="1"/>
      <c r="AC123" s="54"/>
      <c r="AD123" s="55"/>
      <c r="AE123" s="56"/>
      <c r="AF123" s="2"/>
      <c r="AG123" s="2"/>
      <c r="AH123" s="2"/>
      <c r="AI123" s="2"/>
      <c r="AJ123" s="2"/>
      <c r="AK123" s="2"/>
      <c r="AL123" s="2"/>
      <c r="AM123" s="2"/>
      <c r="AN123" s="2"/>
      <c r="AO123" s="2"/>
      <c r="AP123" s="2"/>
      <c r="AQ123" s="2"/>
    </row>
    <row r="124" spans="1:43" ht="2.25" customHeight="1">
      <c r="A124" s="2"/>
      <c r="B124" s="4"/>
      <c r="C124" s="179"/>
      <c r="D12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4" s="53"/>
      <c r="F124" s="93"/>
      <c r="G124" s="94"/>
      <c r="H124" s="178"/>
      <c r="I124" s="187"/>
      <c r="J124" s="178"/>
      <c r="K124" s="178"/>
      <c r="L124" s="178"/>
      <c r="M124" s="187"/>
      <c r="N124" s="150"/>
      <c r="O124" s="150"/>
      <c r="P124" s="178"/>
      <c r="Q124" s="178"/>
      <c r="R124" s="150"/>
      <c r="S124" s="150"/>
      <c r="T124" s="178"/>
      <c r="U124" s="178"/>
      <c r="V124" s="150"/>
      <c r="W124" s="150"/>
      <c r="X124" s="178"/>
      <c r="Y124" s="178"/>
      <c r="Z124" s="86"/>
      <c r="AA124" s="1"/>
      <c r="AB124" s="1"/>
      <c r="AC124" s="54"/>
      <c r="AD124" s="55"/>
      <c r="AE124" s="56"/>
      <c r="AF124" s="2"/>
      <c r="AG124" s="2"/>
      <c r="AH124" s="2"/>
      <c r="AI124" s="2"/>
      <c r="AJ124" s="2"/>
      <c r="AK124" s="2"/>
      <c r="AL124" s="2"/>
      <c r="AM124" s="2"/>
      <c r="AN124" s="2"/>
      <c r="AO124" s="2"/>
      <c r="AP124" s="2"/>
      <c r="AQ124" s="2"/>
    </row>
    <row r="125" spans="1:43" ht="2.25" customHeight="1">
      <c r="A125" s="2"/>
      <c r="B125" s="4"/>
      <c r="C125" s="180"/>
      <c r="D12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5" s="53"/>
      <c r="F125" s="93"/>
      <c r="G125" s="94"/>
      <c r="H125" s="178"/>
      <c r="I125" s="187"/>
      <c r="J125" s="178"/>
      <c r="K125" s="178"/>
      <c r="L125" s="178"/>
      <c r="M125" s="187"/>
      <c r="N125" s="150"/>
      <c r="O125" s="150"/>
      <c r="P125" s="178"/>
      <c r="Q125" s="178"/>
      <c r="R125" s="150"/>
      <c r="S125" s="150"/>
      <c r="T125" s="178"/>
      <c r="U125" s="178"/>
      <c r="V125" s="150"/>
      <c r="W125" s="150"/>
      <c r="X125" s="178"/>
      <c r="Y125" s="178"/>
      <c r="Z125" s="86"/>
      <c r="AA125" s="1"/>
      <c r="AB125" s="1"/>
      <c r="AC125" s="54"/>
      <c r="AD125" s="55"/>
      <c r="AE125" s="56"/>
      <c r="AF125" s="2"/>
      <c r="AG125" s="2"/>
      <c r="AH125" s="2"/>
      <c r="AI125" s="2"/>
      <c r="AJ125" s="2"/>
      <c r="AK125" s="2"/>
      <c r="AL125" s="2"/>
      <c r="AM125" s="2"/>
      <c r="AN125" s="2"/>
      <c r="AO125" s="2"/>
      <c r="AP125" s="2"/>
      <c r="AQ125" s="2"/>
    </row>
    <row r="126" spans="1:43" ht="2.25" customHeight="1">
      <c r="A126" s="2"/>
      <c r="B126" s="4"/>
      <c r="C126" s="180"/>
      <c r="D12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6" s="53"/>
      <c r="F126" s="93"/>
      <c r="G126" s="94"/>
      <c r="H126" s="178"/>
      <c r="I126" s="187"/>
      <c r="J126" s="178"/>
      <c r="K126" s="178"/>
      <c r="L126" s="178"/>
      <c r="M126" s="187"/>
      <c r="N126" s="150"/>
      <c r="O126" s="150"/>
      <c r="P126" s="178"/>
      <c r="Q126" s="178"/>
      <c r="R126" s="150"/>
      <c r="S126" s="150"/>
      <c r="T126" s="178"/>
      <c r="U126" s="178"/>
      <c r="V126" s="150"/>
      <c r="W126" s="150"/>
      <c r="X126" s="178"/>
      <c r="Y126" s="178"/>
      <c r="Z126" s="86"/>
      <c r="AA126" s="1"/>
      <c r="AB126" s="1"/>
      <c r="AC126" s="54"/>
      <c r="AD126" s="55"/>
      <c r="AE126" s="56"/>
      <c r="AF126" s="2"/>
      <c r="AG126" s="2"/>
      <c r="AH126" s="2"/>
      <c r="AI126" s="2"/>
      <c r="AJ126" s="2"/>
      <c r="AK126" s="2"/>
      <c r="AL126" s="2"/>
      <c r="AM126" s="2"/>
      <c r="AN126" s="2"/>
      <c r="AO126" s="2"/>
      <c r="AP126" s="2"/>
      <c r="AQ126" s="2"/>
    </row>
    <row r="127" spans="1:43" ht="2.25" customHeight="1">
      <c r="A127" s="2"/>
      <c r="B127" s="4"/>
      <c r="C127" s="180"/>
      <c r="D12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7" s="53"/>
      <c r="F127" s="93"/>
      <c r="G127" s="94"/>
      <c r="H127" s="178"/>
      <c r="I127" s="187"/>
      <c r="J127" s="178"/>
      <c r="K127" s="178"/>
      <c r="L127" s="178"/>
      <c r="M127" s="187"/>
      <c r="N127" s="150"/>
      <c r="O127" s="150"/>
      <c r="P127" s="178"/>
      <c r="Q127" s="178"/>
      <c r="R127" s="150"/>
      <c r="S127" s="150"/>
      <c r="T127" s="178"/>
      <c r="U127" s="178"/>
      <c r="V127" s="150"/>
      <c r="W127" s="150"/>
      <c r="X127" s="178"/>
      <c r="Y127" s="178"/>
      <c r="Z127" s="86"/>
      <c r="AA127" s="1"/>
      <c r="AB127" s="1"/>
      <c r="AC127" s="54"/>
      <c r="AD127" s="55"/>
      <c r="AE127" s="56"/>
      <c r="AF127" s="2"/>
      <c r="AG127" s="2"/>
      <c r="AH127" s="2"/>
      <c r="AI127" s="2"/>
      <c r="AJ127" s="2"/>
      <c r="AK127" s="2"/>
      <c r="AL127" s="2"/>
      <c r="AM127" s="2"/>
      <c r="AN127" s="2"/>
      <c r="AO127" s="2"/>
      <c r="AP127" s="2"/>
      <c r="AQ127" s="2"/>
    </row>
    <row r="128" spans="1:43" ht="2.25" customHeight="1">
      <c r="A128" s="2"/>
      <c r="B128" s="4"/>
      <c r="C128" s="179"/>
      <c r="D12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8" s="53"/>
      <c r="F128" s="93"/>
      <c r="G128" s="94"/>
      <c r="H128" s="178"/>
      <c r="I128" s="187"/>
      <c r="J128" s="178"/>
      <c r="K128" s="178"/>
      <c r="L128" s="178"/>
      <c r="M128" s="187"/>
      <c r="N128" s="150"/>
      <c r="O128" s="150"/>
      <c r="P128" s="178"/>
      <c r="Q128" s="178"/>
      <c r="R128" s="150"/>
      <c r="S128" s="150"/>
      <c r="T128" s="178"/>
      <c r="U128" s="178"/>
      <c r="V128" s="150"/>
      <c r="W128" s="150"/>
      <c r="X128" s="178"/>
      <c r="Y128" s="178"/>
      <c r="Z128" s="86"/>
      <c r="AA128" s="1"/>
      <c r="AB128" s="1"/>
      <c r="AC128" s="54"/>
      <c r="AD128" s="55"/>
      <c r="AE128" s="56"/>
      <c r="AF128" s="2"/>
      <c r="AG128" s="2"/>
      <c r="AH128" s="2"/>
      <c r="AI128" s="2"/>
      <c r="AJ128" s="2"/>
      <c r="AK128" s="2"/>
      <c r="AL128" s="2"/>
      <c r="AM128" s="2"/>
      <c r="AN128" s="2"/>
      <c r="AO128" s="2"/>
      <c r="AP128" s="2"/>
      <c r="AQ128" s="2"/>
    </row>
    <row r="129" spans="1:43" ht="2.25" customHeight="1">
      <c r="A129" s="2"/>
      <c r="B129" s="4"/>
      <c r="C129" s="180"/>
      <c r="D12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29" s="53"/>
      <c r="F129" s="93"/>
      <c r="G129" s="94"/>
      <c r="H129" s="178"/>
      <c r="I129" s="187"/>
      <c r="J129" s="178"/>
      <c r="K129" s="178"/>
      <c r="L129" s="178"/>
      <c r="M129" s="187"/>
      <c r="N129" s="150"/>
      <c r="O129" s="150"/>
      <c r="P129" s="178"/>
      <c r="Q129" s="178"/>
      <c r="R129" s="150"/>
      <c r="S129" s="150"/>
      <c r="T129" s="178"/>
      <c r="U129" s="178"/>
      <c r="V129" s="150"/>
      <c r="W129" s="150"/>
      <c r="X129" s="178"/>
      <c r="Y129" s="178"/>
      <c r="Z129" s="86"/>
      <c r="AA129" s="1"/>
      <c r="AB129" s="1"/>
      <c r="AC129" s="54"/>
      <c r="AD129" s="55"/>
      <c r="AE129" s="56"/>
      <c r="AF129" s="2"/>
      <c r="AG129" s="2"/>
      <c r="AH129" s="2"/>
      <c r="AI129" s="2"/>
      <c r="AJ129" s="2"/>
      <c r="AK129" s="2"/>
      <c r="AL129" s="2"/>
      <c r="AM129" s="2"/>
      <c r="AN129" s="2"/>
      <c r="AO129" s="2"/>
      <c r="AP129" s="2"/>
      <c r="AQ129" s="2"/>
    </row>
    <row r="130" spans="1:43" ht="2.25" customHeight="1">
      <c r="A130" s="2"/>
      <c r="B130" s="4"/>
      <c r="C130" s="180"/>
      <c r="D13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0" s="53"/>
      <c r="F130" s="93"/>
      <c r="G130" s="94"/>
      <c r="H130" s="178"/>
      <c r="I130" s="187"/>
      <c r="J130" s="178"/>
      <c r="K130" s="178"/>
      <c r="L130" s="178"/>
      <c r="M130" s="187"/>
      <c r="N130" s="150"/>
      <c r="O130" s="150"/>
      <c r="P130" s="178"/>
      <c r="Q130" s="178"/>
      <c r="R130" s="150"/>
      <c r="S130" s="150"/>
      <c r="T130" s="178"/>
      <c r="U130" s="178"/>
      <c r="V130" s="150"/>
      <c r="W130" s="150"/>
      <c r="X130" s="178"/>
      <c r="Y130" s="178"/>
      <c r="Z130" s="86"/>
      <c r="AA130" s="1"/>
      <c r="AB130" s="1"/>
      <c r="AC130" s="54"/>
      <c r="AD130" s="55"/>
      <c r="AE130" s="56"/>
      <c r="AF130" s="2"/>
      <c r="AG130" s="2"/>
      <c r="AH130" s="2"/>
      <c r="AI130" s="2"/>
      <c r="AJ130" s="2"/>
      <c r="AK130" s="2"/>
      <c r="AL130" s="2"/>
      <c r="AM130" s="2"/>
      <c r="AN130" s="2"/>
      <c r="AO130" s="2"/>
      <c r="AP130" s="2"/>
      <c r="AQ130" s="2"/>
    </row>
    <row r="131" spans="1:43" ht="2.25" customHeight="1">
      <c r="A131" s="2"/>
      <c r="B131" s="4"/>
      <c r="C131" s="180"/>
      <c r="D13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1" s="53"/>
      <c r="F131" s="93"/>
      <c r="G131" s="94"/>
      <c r="H131" s="178"/>
      <c r="I131" s="187"/>
      <c r="J131" s="178"/>
      <c r="K131" s="178"/>
      <c r="L131" s="178"/>
      <c r="M131" s="187"/>
      <c r="N131" s="150"/>
      <c r="O131" s="150"/>
      <c r="P131" s="178"/>
      <c r="Q131" s="178"/>
      <c r="R131" s="150"/>
      <c r="S131" s="150"/>
      <c r="T131" s="178"/>
      <c r="U131" s="178"/>
      <c r="V131" s="150"/>
      <c r="W131" s="150"/>
      <c r="X131" s="178"/>
      <c r="Y131" s="178"/>
      <c r="Z131" s="86"/>
      <c r="AA131" s="1"/>
      <c r="AB131" s="1"/>
      <c r="AC131" s="54"/>
      <c r="AD131" s="55"/>
      <c r="AE131" s="56"/>
      <c r="AF131" s="2"/>
      <c r="AG131" s="2"/>
      <c r="AH131" s="2"/>
      <c r="AI131" s="2"/>
      <c r="AJ131" s="2"/>
      <c r="AK131" s="2"/>
      <c r="AL131" s="2"/>
      <c r="AM131" s="2"/>
      <c r="AN131" s="2"/>
      <c r="AO131" s="2"/>
      <c r="AP131" s="2"/>
      <c r="AQ131" s="2"/>
    </row>
    <row r="132" spans="1:43" ht="2.25" customHeight="1">
      <c r="A132" s="2"/>
      <c r="B132" s="4"/>
      <c r="C132" s="179"/>
      <c r="D13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2" s="53"/>
      <c r="F132" s="93"/>
      <c r="G132" s="94"/>
      <c r="H132" s="178"/>
      <c r="I132" s="187"/>
      <c r="J132" s="178"/>
      <c r="K132" s="178"/>
      <c r="L132" s="178"/>
      <c r="M132" s="187"/>
      <c r="N132" s="150"/>
      <c r="O132" s="150"/>
      <c r="P132" s="178"/>
      <c r="Q132" s="178"/>
      <c r="R132" s="150"/>
      <c r="S132" s="150"/>
      <c r="T132" s="178"/>
      <c r="U132" s="178"/>
      <c r="V132" s="150"/>
      <c r="W132" s="150"/>
      <c r="X132" s="178"/>
      <c r="Y132" s="178"/>
      <c r="Z132" s="86"/>
      <c r="AA132" s="1"/>
      <c r="AB132" s="1"/>
      <c r="AC132" s="54"/>
      <c r="AD132" s="55"/>
      <c r="AE132" s="56"/>
      <c r="AF132" s="2"/>
      <c r="AG132" s="2"/>
      <c r="AH132" s="2"/>
      <c r="AI132" s="2"/>
      <c r="AJ132" s="2"/>
      <c r="AK132" s="2"/>
      <c r="AL132" s="2"/>
      <c r="AM132" s="2"/>
      <c r="AN132" s="2"/>
      <c r="AO132" s="2"/>
      <c r="AP132" s="2"/>
      <c r="AQ132" s="2"/>
    </row>
    <row r="133" spans="1:43" ht="2.25" customHeight="1">
      <c r="A133" s="2"/>
      <c r="B133" s="4"/>
      <c r="C133" s="180"/>
      <c r="D13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3" s="53"/>
      <c r="F133" s="93"/>
      <c r="G133" s="94"/>
      <c r="H133" s="178">
        <f>IF(TYPE(MATCH(20*(ROW()-7)/200,Input!$L$17:$L$36,1))&lt;&gt;16,IF(20*(ROW()-7)/200&gt;MAX(Input!$L$17:$L$36),"",INDEX(Input!$O$17:$O$36,MATCH(20*(ROW()-7)/200,Input!$L$17:$L$36,1)+1)),Input!$O$17)</f>
        <v>13.275</v>
      </c>
      <c r="I133" s="187">
        <f>IF(H133="","",INDEX(Input!$G$17:$G$36,MATCH($H133,Input!$O$17:$O$36,0)))</f>
        <v>9</v>
      </c>
      <c r="J133" s="178">
        <f>IF(INDEX(Input!$C$17:$C$36,MATCH($H133,Input!$O$17:$O$36,0))=0,"",INDEX(Input!$C$17:$C$36,MATCH($H133,Input!$O$17:$O$36,0)))</f>
        <v>17.850000000000001</v>
      </c>
      <c r="K133" s="178">
        <f>IF(INDEX(Input!$P$17:$P$36,MATCH($H133,Input!$O$17:$O$36,0))=0,"",INDEX(Input!$P$17:$P$36,MATCH($H133,Input!$O$17:$O$36,0)))</f>
        <v>250.7655</v>
      </c>
      <c r="L133" s="178">
        <f>IF(INDEX(Input!$Q$17:$Q$36,MATCH($H133,Input!$O$17:$O$36,0))=0,"",INDEX(Input!$Q$17:$Q$36,MATCH($H133,Input!$O$17:$O$36,0)))</f>
        <v>120.53774999999999</v>
      </c>
      <c r="M133" s="187">
        <f>IF(INDEX(Input!$H$17:$H$36,MATCH($H133,Input!$O$17:$O$36,0))=0,"",INDEX(Input!$H$17:$H$36,MATCH($H133,Input!$O$17:$O$36,0)))</f>
        <v>57</v>
      </c>
      <c r="N133" s="150">
        <f>INDEX(HBF!$M$3:$M$22,MATCH($H133,Input!$O$17:$O$36,0))</f>
        <v>0.17897225604681805</v>
      </c>
      <c r="O133" s="150">
        <f>INDEX(HBF!$N$3:$N$22,MATCH($H133,Input!$O$17:$O$36,0))</f>
        <v>9.3238543900458562E-2</v>
      </c>
      <c r="P133" s="178">
        <f>INDEX(HBF!$O$3:$O$22,MATCH($H133,Input!$O$17:$O$36,0))</f>
        <v>1.9195093419507792</v>
      </c>
      <c r="Q133" s="178">
        <f>INDEX(HBF!$P$3:$P$22,MATCH($H133,Input!$O$17:$O$36,0))</f>
        <v>0</v>
      </c>
      <c r="R133" s="150">
        <f>INDEX(HBF!$F$3:$F$22,MATCH($H133,Input!$O$17:$O$36,0))</f>
        <v>0.17024312872160965</v>
      </c>
      <c r="S133" s="150">
        <f>INDEX(HBF!$H$3:$H$22,MATCH($H133,Input!$O$17:$O$36,0))</f>
        <v>0.26020058762918674</v>
      </c>
      <c r="T133" s="178">
        <f>INDEX(HBF!$I$3:$I$22,MATCH($H133,Input!$O$17:$O$36,0))</f>
        <v>0.65427649596327608</v>
      </c>
      <c r="U133" s="178">
        <f>INDEX(HBF!$K$3:$K$22,MATCH($H133,Input!$O$17:$O$36,0))</f>
        <v>1.7437429234852262</v>
      </c>
      <c r="V133" s="150">
        <f>INDEX(HBF!$R$3:$R$22,MATCH($H133,Input!$O$17:$O$36,0))</f>
        <v>0.16215877923838512</v>
      </c>
      <c r="W133" s="150">
        <f>INDEX(HBF!$S$3:$S$22,MATCH($H133,Input!$O$17:$O$36,0))</f>
        <v>0.34693411683891562</v>
      </c>
      <c r="X133" s="178">
        <f>INDEX(HBF!$T$3:$T$22,MATCH($H133,Input!$O$17:$O$36,0))</f>
        <v>0.46740511056073736</v>
      </c>
      <c r="Y133" s="178">
        <f>INDEX(HBF!$U$3:$U$22,MATCH($H133,Input!$O$17:$O$36,0))</f>
        <v>2.6862754736092809</v>
      </c>
      <c r="Z133" s="86"/>
      <c r="AA133" s="1"/>
      <c r="AB133" s="1"/>
      <c r="AC133" s="54"/>
      <c r="AD133" s="55"/>
      <c r="AE133" s="56"/>
      <c r="AF133" s="2"/>
      <c r="AG133" s="2"/>
      <c r="AH133" s="2"/>
      <c r="AI133" s="2"/>
      <c r="AJ133" s="2"/>
      <c r="AK133" s="2"/>
      <c r="AL133" s="2"/>
      <c r="AM133" s="2"/>
      <c r="AN133" s="2"/>
      <c r="AO133" s="2"/>
      <c r="AP133" s="2"/>
      <c r="AQ133" s="2"/>
    </row>
    <row r="134" spans="1:43" ht="2.25" customHeight="1">
      <c r="A134" s="2"/>
      <c r="B134" s="4"/>
      <c r="C134" s="180"/>
      <c r="D13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4" s="53"/>
      <c r="F134" s="93"/>
      <c r="G134" s="94"/>
      <c r="H134" s="178"/>
      <c r="I134" s="187"/>
      <c r="J134" s="178"/>
      <c r="K134" s="178"/>
      <c r="L134" s="178"/>
      <c r="M134" s="187"/>
      <c r="N134" s="150"/>
      <c r="O134" s="150"/>
      <c r="P134" s="178"/>
      <c r="Q134" s="178"/>
      <c r="R134" s="150"/>
      <c r="S134" s="150"/>
      <c r="T134" s="178"/>
      <c r="U134" s="178"/>
      <c r="V134" s="150"/>
      <c r="W134" s="150"/>
      <c r="X134" s="178"/>
      <c r="Y134" s="178"/>
      <c r="Z134" s="86"/>
      <c r="AA134" s="1"/>
      <c r="AB134" s="1"/>
      <c r="AC134" s="54"/>
      <c r="AD134" s="55"/>
      <c r="AE134" s="56"/>
      <c r="AF134" s="2"/>
      <c r="AG134" s="2"/>
      <c r="AH134" s="2"/>
      <c r="AI134" s="2"/>
      <c r="AJ134" s="2"/>
      <c r="AK134" s="2"/>
      <c r="AL134" s="2"/>
      <c r="AM134" s="2"/>
      <c r="AN134" s="2"/>
      <c r="AO134" s="2"/>
      <c r="AP134" s="2"/>
      <c r="AQ134" s="2"/>
    </row>
    <row r="135" spans="1:43" ht="2.25" customHeight="1">
      <c r="A135" s="2"/>
      <c r="B135" s="4"/>
      <c r="C135" s="180"/>
      <c r="D13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5" s="53"/>
      <c r="F135" s="93"/>
      <c r="G135" s="94"/>
      <c r="H135" s="178"/>
      <c r="I135" s="187"/>
      <c r="J135" s="178"/>
      <c r="K135" s="178"/>
      <c r="L135" s="178"/>
      <c r="M135" s="187"/>
      <c r="N135" s="150"/>
      <c r="O135" s="150"/>
      <c r="P135" s="178"/>
      <c r="Q135" s="178"/>
      <c r="R135" s="150"/>
      <c r="S135" s="150"/>
      <c r="T135" s="178"/>
      <c r="U135" s="178"/>
      <c r="V135" s="150"/>
      <c r="W135" s="150"/>
      <c r="X135" s="178"/>
      <c r="Y135" s="178"/>
      <c r="Z135" s="86"/>
      <c r="AA135" s="1"/>
      <c r="AB135" s="1"/>
      <c r="AC135" s="54"/>
      <c r="AD135" s="55"/>
      <c r="AE135" s="56"/>
      <c r="AF135" s="2"/>
      <c r="AG135" s="2"/>
      <c r="AH135" s="2"/>
      <c r="AI135" s="2"/>
      <c r="AJ135" s="2"/>
      <c r="AK135" s="2"/>
      <c r="AL135" s="2"/>
      <c r="AM135" s="2"/>
      <c r="AN135" s="2"/>
      <c r="AO135" s="2"/>
      <c r="AP135" s="2"/>
      <c r="AQ135" s="2"/>
    </row>
    <row r="136" spans="1:43" ht="2.25" customHeight="1">
      <c r="A136" s="2"/>
      <c r="B136" s="4"/>
      <c r="C136" s="179"/>
      <c r="D13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6" s="53"/>
      <c r="F136" s="93"/>
      <c r="G136" s="94"/>
      <c r="H136" s="178"/>
      <c r="I136" s="187"/>
      <c r="J136" s="178"/>
      <c r="K136" s="178"/>
      <c r="L136" s="178"/>
      <c r="M136" s="187"/>
      <c r="N136" s="150"/>
      <c r="O136" s="150"/>
      <c r="P136" s="178"/>
      <c r="Q136" s="178"/>
      <c r="R136" s="150"/>
      <c r="S136" s="150"/>
      <c r="T136" s="178"/>
      <c r="U136" s="178"/>
      <c r="V136" s="150"/>
      <c r="W136" s="150"/>
      <c r="X136" s="178"/>
      <c r="Y136" s="178"/>
      <c r="Z136" s="86"/>
      <c r="AA136" s="1"/>
      <c r="AB136" s="1"/>
      <c r="AC136" s="54"/>
      <c r="AD136" s="55"/>
      <c r="AE136" s="56"/>
      <c r="AF136" s="2"/>
      <c r="AG136" s="2"/>
      <c r="AH136" s="2"/>
      <c r="AI136" s="2"/>
      <c r="AJ136" s="2"/>
      <c r="AK136" s="2"/>
      <c r="AL136" s="2"/>
      <c r="AM136" s="2"/>
      <c r="AN136" s="2"/>
      <c r="AO136" s="2"/>
      <c r="AP136" s="2"/>
      <c r="AQ136" s="2"/>
    </row>
    <row r="137" spans="1:43" ht="2.25" customHeight="1">
      <c r="A137" s="2"/>
      <c r="B137" s="4"/>
      <c r="C137" s="180"/>
      <c r="D13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7" s="53"/>
      <c r="F137" s="93"/>
      <c r="G137" s="94"/>
      <c r="H137" s="178"/>
      <c r="I137" s="187"/>
      <c r="J137" s="178"/>
      <c r="K137" s="178"/>
      <c r="L137" s="178"/>
      <c r="M137" s="187"/>
      <c r="N137" s="150"/>
      <c r="O137" s="150"/>
      <c r="P137" s="178"/>
      <c r="Q137" s="178"/>
      <c r="R137" s="150"/>
      <c r="S137" s="150"/>
      <c r="T137" s="178"/>
      <c r="U137" s="178"/>
      <c r="V137" s="150"/>
      <c r="W137" s="150"/>
      <c r="X137" s="178"/>
      <c r="Y137" s="178"/>
      <c r="Z137" s="86"/>
      <c r="AA137" s="1"/>
      <c r="AB137" s="1"/>
      <c r="AC137" s="54"/>
      <c r="AD137" s="55"/>
      <c r="AE137" s="56"/>
      <c r="AF137" s="2"/>
      <c r="AG137" s="2"/>
      <c r="AH137" s="2"/>
      <c r="AI137" s="2"/>
      <c r="AJ137" s="2"/>
      <c r="AK137" s="2"/>
      <c r="AL137" s="2"/>
      <c r="AM137" s="2"/>
      <c r="AN137" s="2"/>
      <c r="AO137" s="2"/>
      <c r="AP137" s="2"/>
      <c r="AQ137" s="2"/>
    </row>
    <row r="138" spans="1:43" ht="2.25" customHeight="1">
      <c r="A138" s="2"/>
      <c r="B138" s="4"/>
      <c r="C138" s="180"/>
      <c r="D13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8" s="53"/>
      <c r="F138" s="93"/>
      <c r="G138" s="94"/>
      <c r="H138" s="178"/>
      <c r="I138" s="187"/>
      <c r="J138" s="178"/>
      <c r="K138" s="178"/>
      <c r="L138" s="178"/>
      <c r="M138" s="187"/>
      <c r="N138" s="150"/>
      <c r="O138" s="150"/>
      <c r="P138" s="178"/>
      <c r="Q138" s="178"/>
      <c r="R138" s="150"/>
      <c r="S138" s="150"/>
      <c r="T138" s="178"/>
      <c r="U138" s="178"/>
      <c r="V138" s="150"/>
      <c r="W138" s="150"/>
      <c r="X138" s="178"/>
      <c r="Y138" s="178"/>
      <c r="Z138" s="86"/>
      <c r="AA138" s="1"/>
      <c r="AB138" s="1"/>
      <c r="AC138" s="54"/>
      <c r="AD138" s="55"/>
      <c r="AE138" s="56"/>
      <c r="AF138" s="2"/>
      <c r="AG138" s="2"/>
      <c r="AH138" s="2"/>
      <c r="AI138" s="2"/>
      <c r="AJ138" s="2"/>
      <c r="AK138" s="2"/>
      <c r="AL138" s="2"/>
      <c r="AM138" s="2"/>
      <c r="AN138" s="2"/>
      <c r="AO138" s="2"/>
      <c r="AP138" s="2"/>
      <c r="AQ138" s="2"/>
    </row>
    <row r="139" spans="1:43" ht="2.25" customHeight="1">
      <c r="A139" s="2"/>
      <c r="B139" s="4"/>
      <c r="C139" s="180"/>
      <c r="D13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39" s="53"/>
      <c r="F139" s="93"/>
      <c r="G139" s="94"/>
      <c r="H139" s="178"/>
      <c r="I139" s="187"/>
      <c r="J139" s="178"/>
      <c r="K139" s="178"/>
      <c r="L139" s="178"/>
      <c r="M139" s="187"/>
      <c r="N139" s="150"/>
      <c r="O139" s="150"/>
      <c r="P139" s="178"/>
      <c r="Q139" s="178"/>
      <c r="R139" s="150"/>
      <c r="S139" s="150"/>
      <c r="T139" s="178"/>
      <c r="U139" s="178"/>
      <c r="V139" s="150"/>
      <c r="W139" s="150"/>
      <c r="X139" s="178"/>
      <c r="Y139" s="178"/>
      <c r="Z139" s="86"/>
      <c r="AA139" s="1"/>
      <c r="AB139" s="1"/>
      <c r="AC139" s="54"/>
      <c r="AD139" s="55"/>
      <c r="AE139" s="56"/>
      <c r="AF139" s="2"/>
      <c r="AG139" s="2"/>
      <c r="AH139" s="2"/>
      <c r="AI139" s="2"/>
      <c r="AJ139" s="2"/>
      <c r="AK139" s="2"/>
      <c r="AL139" s="2"/>
      <c r="AM139" s="2"/>
      <c r="AN139" s="2"/>
      <c r="AO139" s="2"/>
      <c r="AP139" s="2"/>
      <c r="AQ139" s="2"/>
    </row>
    <row r="140" spans="1:43" ht="2.25" customHeight="1">
      <c r="A140" s="2"/>
      <c r="B140" s="4"/>
      <c r="C140" s="179"/>
      <c r="D14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0" s="53"/>
      <c r="F140" s="93"/>
      <c r="G140" s="94"/>
      <c r="H140" s="178"/>
      <c r="I140" s="187"/>
      <c r="J140" s="178"/>
      <c r="K140" s="178"/>
      <c r="L140" s="178"/>
      <c r="M140" s="187"/>
      <c r="N140" s="150"/>
      <c r="O140" s="150"/>
      <c r="P140" s="178"/>
      <c r="Q140" s="178"/>
      <c r="R140" s="150"/>
      <c r="S140" s="150"/>
      <c r="T140" s="178"/>
      <c r="U140" s="178"/>
      <c r="V140" s="150"/>
      <c r="W140" s="150"/>
      <c r="X140" s="178"/>
      <c r="Y140" s="178"/>
      <c r="Z140" s="86"/>
      <c r="AA140" s="1"/>
      <c r="AB140" s="1"/>
      <c r="AC140" s="54"/>
      <c r="AD140" s="55"/>
      <c r="AE140" s="56"/>
      <c r="AF140" s="2"/>
      <c r="AG140" s="2"/>
      <c r="AH140" s="2"/>
      <c r="AI140" s="2"/>
      <c r="AJ140" s="2"/>
      <c r="AK140" s="2"/>
      <c r="AL140" s="2"/>
      <c r="AM140" s="2"/>
      <c r="AN140" s="2"/>
      <c r="AO140" s="2"/>
      <c r="AP140" s="2"/>
      <c r="AQ140" s="2"/>
    </row>
    <row r="141" spans="1:43" ht="2.25" customHeight="1">
      <c r="A141" s="2"/>
      <c r="B141" s="4"/>
      <c r="C141" s="180"/>
      <c r="D14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1" s="53"/>
      <c r="F141" s="93"/>
      <c r="G141" s="94"/>
      <c r="H141" s="178"/>
      <c r="I141" s="187"/>
      <c r="J141" s="178"/>
      <c r="K141" s="178"/>
      <c r="L141" s="178"/>
      <c r="M141" s="187"/>
      <c r="N141" s="150"/>
      <c r="O141" s="150"/>
      <c r="P141" s="178"/>
      <c r="Q141" s="178"/>
      <c r="R141" s="150"/>
      <c r="S141" s="150"/>
      <c r="T141" s="178"/>
      <c r="U141" s="178"/>
      <c r="V141" s="150"/>
      <c r="W141" s="150"/>
      <c r="X141" s="178"/>
      <c r="Y141" s="178"/>
      <c r="Z141" s="86"/>
      <c r="AA141" s="1"/>
      <c r="AB141" s="1"/>
      <c r="AC141" s="54"/>
      <c r="AD141" s="55"/>
      <c r="AE141" s="56"/>
      <c r="AF141" s="2"/>
      <c r="AG141" s="2"/>
      <c r="AH141" s="2"/>
      <c r="AI141" s="2"/>
      <c r="AJ141" s="2"/>
      <c r="AK141" s="2"/>
      <c r="AL141" s="2"/>
      <c r="AM141" s="2"/>
      <c r="AN141" s="2"/>
      <c r="AO141" s="2"/>
      <c r="AP141" s="2"/>
      <c r="AQ141" s="2"/>
    </row>
    <row r="142" spans="1:43" ht="2.25" customHeight="1">
      <c r="A142" s="2"/>
      <c r="B142" s="4"/>
      <c r="C142" s="180"/>
      <c r="D14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2" s="53"/>
      <c r="F142" s="93"/>
      <c r="G142" s="94"/>
      <c r="H142" s="178"/>
      <c r="I142" s="187"/>
      <c r="J142" s="178"/>
      <c r="K142" s="178"/>
      <c r="L142" s="178"/>
      <c r="M142" s="187"/>
      <c r="N142" s="150"/>
      <c r="O142" s="150"/>
      <c r="P142" s="178"/>
      <c r="Q142" s="178"/>
      <c r="R142" s="150"/>
      <c r="S142" s="150"/>
      <c r="T142" s="178"/>
      <c r="U142" s="178"/>
      <c r="V142" s="150"/>
      <c r="W142" s="150"/>
      <c r="X142" s="178"/>
      <c r="Y142" s="178"/>
      <c r="Z142" s="86"/>
      <c r="AA142" s="1"/>
      <c r="AB142" s="1"/>
      <c r="AC142" s="54"/>
      <c r="AD142" s="55"/>
      <c r="AE142" s="56"/>
      <c r="AF142" s="2"/>
      <c r="AG142" s="2"/>
      <c r="AH142" s="2"/>
      <c r="AI142" s="2"/>
      <c r="AJ142" s="2"/>
      <c r="AK142" s="2"/>
      <c r="AL142" s="2"/>
      <c r="AM142" s="2"/>
      <c r="AN142" s="2"/>
      <c r="AO142" s="2"/>
      <c r="AP142" s="2"/>
      <c r="AQ142" s="2"/>
    </row>
    <row r="143" spans="1:43" ht="2.25" customHeight="1">
      <c r="A143" s="2"/>
      <c r="B143" s="4"/>
      <c r="C143" s="180"/>
      <c r="D14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3" s="53"/>
      <c r="F143" s="93"/>
      <c r="G143" s="94"/>
      <c r="H143" s="178"/>
      <c r="I143" s="187"/>
      <c r="J143" s="178"/>
      <c r="K143" s="178"/>
      <c r="L143" s="178"/>
      <c r="M143" s="187"/>
      <c r="N143" s="150"/>
      <c r="O143" s="150"/>
      <c r="P143" s="178"/>
      <c r="Q143" s="178"/>
      <c r="R143" s="150"/>
      <c r="S143" s="150"/>
      <c r="T143" s="178"/>
      <c r="U143" s="178"/>
      <c r="V143" s="150"/>
      <c r="W143" s="150"/>
      <c r="X143" s="178"/>
      <c r="Y143" s="178"/>
      <c r="Z143" s="86"/>
      <c r="AA143" s="1"/>
      <c r="AB143" s="1"/>
      <c r="AC143" s="54"/>
      <c r="AD143" s="55"/>
      <c r="AE143" s="56"/>
      <c r="AF143" s="2"/>
      <c r="AG143" s="2"/>
      <c r="AH143" s="2"/>
      <c r="AI143" s="2"/>
      <c r="AJ143" s="2"/>
      <c r="AK143" s="2"/>
      <c r="AL143" s="2"/>
      <c r="AM143" s="2"/>
      <c r="AN143" s="2"/>
      <c r="AO143" s="2"/>
      <c r="AP143" s="2"/>
      <c r="AQ143" s="2"/>
    </row>
    <row r="144" spans="1:43" ht="2.25" customHeight="1">
      <c r="A144" s="2"/>
      <c r="B144" s="4"/>
      <c r="C144" s="179"/>
      <c r="D14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4" s="53"/>
      <c r="F144" s="93"/>
      <c r="G144" s="94"/>
      <c r="H144" s="178"/>
      <c r="I144" s="187"/>
      <c r="J144" s="178"/>
      <c r="K144" s="178"/>
      <c r="L144" s="178"/>
      <c r="M144" s="187"/>
      <c r="N144" s="150"/>
      <c r="O144" s="150"/>
      <c r="P144" s="178"/>
      <c r="Q144" s="178"/>
      <c r="R144" s="150"/>
      <c r="S144" s="150"/>
      <c r="T144" s="178"/>
      <c r="U144" s="178"/>
      <c r="V144" s="150"/>
      <c r="W144" s="150"/>
      <c r="X144" s="178"/>
      <c r="Y144" s="178"/>
      <c r="Z144" s="86"/>
      <c r="AA144" s="1"/>
      <c r="AB144" s="1"/>
      <c r="AC144" s="54"/>
      <c r="AD144" s="55"/>
      <c r="AE144" s="56"/>
      <c r="AF144" s="2"/>
      <c r="AG144" s="2"/>
      <c r="AH144" s="2"/>
      <c r="AI144" s="2"/>
      <c r="AJ144" s="2"/>
      <c r="AK144" s="2"/>
      <c r="AL144" s="2"/>
      <c r="AM144" s="2"/>
      <c r="AN144" s="2"/>
      <c r="AO144" s="2"/>
      <c r="AP144" s="2"/>
      <c r="AQ144" s="2"/>
    </row>
    <row r="145" spans="1:43" ht="2.25" customHeight="1">
      <c r="A145" s="2"/>
      <c r="B145" s="4"/>
      <c r="C145" s="180"/>
      <c r="D14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5" s="53"/>
      <c r="F145" s="93"/>
      <c r="G145" s="94"/>
      <c r="H145" s="178"/>
      <c r="I145" s="187"/>
      <c r="J145" s="178"/>
      <c r="K145" s="178"/>
      <c r="L145" s="178"/>
      <c r="M145" s="187"/>
      <c r="N145" s="150"/>
      <c r="O145" s="150"/>
      <c r="P145" s="178"/>
      <c r="Q145" s="178"/>
      <c r="R145" s="150"/>
      <c r="S145" s="150"/>
      <c r="T145" s="178"/>
      <c r="U145" s="178"/>
      <c r="V145" s="150"/>
      <c r="W145" s="150"/>
      <c r="X145" s="178"/>
      <c r="Y145" s="178"/>
      <c r="Z145" s="86"/>
      <c r="AA145" s="1"/>
      <c r="AB145" s="1"/>
      <c r="AC145" s="54"/>
      <c r="AD145" s="55"/>
      <c r="AE145" s="56"/>
      <c r="AF145" s="2"/>
      <c r="AG145" s="2"/>
      <c r="AH145" s="2"/>
      <c r="AI145" s="2"/>
      <c r="AJ145" s="2"/>
      <c r="AK145" s="2"/>
      <c r="AL145" s="2"/>
      <c r="AM145" s="2"/>
      <c r="AN145" s="2"/>
      <c r="AO145" s="2"/>
      <c r="AP145" s="2"/>
      <c r="AQ145" s="2"/>
    </row>
    <row r="146" spans="1:43" ht="2.25" customHeight="1">
      <c r="A146" s="2"/>
      <c r="B146" s="4"/>
      <c r="C146" s="180"/>
      <c r="D14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6" s="53"/>
      <c r="F146" s="93"/>
      <c r="G146" s="94"/>
      <c r="H146" s="178"/>
      <c r="I146" s="187"/>
      <c r="J146" s="178"/>
      <c r="K146" s="178"/>
      <c r="L146" s="178"/>
      <c r="M146" s="187"/>
      <c r="N146" s="150"/>
      <c r="O146" s="150"/>
      <c r="P146" s="178"/>
      <c r="Q146" s="178"/>
      <c r="R146" s="150"/>
      <c r="S146" s="150"/>
      <c r="T146" s="178"/>
      <c r="U146" s="178"/>
      <c r="V146" s="150"/>
      <c r="W146" s="150"/>
      <c r="X146" s="178"/>
      <c r="Y146" s="178"/>
      <c r="Z146" s="86"/>
      <c r="AA146" s="1"/>
      <c r="AB146" s="1"/>
      <c r="AC146" s="54"/>
      <c r="AD146" s="55"/>
      <c r="AE146" s="56"/>
      <c r="AF146" s="2"/>
      <c r="AG146" s="2"/>
      <c r="AH146" s="2"/>
      <c r="AI146" s="2"/>
      <c r="AJ146" s="2"/>
      <c r="AK146" s="2"/>
      <c r="AL146" s="2"/>
      <c r="AM146" s="2"/>
      <c r="AN146" s="2"/>
      <c r="AO146" s="2"/>
      <c r="AP146" s="2"/>
      <c r="AQ146" s="2"/>
    </row>
    <row r="147" spans="1:43" ht="2.25" customHeight="1">
      <c r="A147" s="2"/>
      <c r="B147" s="4"/>
      <c r="C147" s="180"/>
      <c r="D14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ML</v>
      </c>
      <c r="E147" s="53"/>
      <c r="F147" s="93"/>
      <c r="G147" s="94"/>
      <c r="H147" s="178"/>
      <c r="I147" s="187"/>
      <c r="J147" s="178"/>
      <c r="K147" s="178"/>
      <c r="L147" s="178"/>
      <c r="M147" s="187"/>
      <c r="N147" s="150"/>
      <c r="O147" s="150"/>
      <c r="P147" s="178"/>
      <c r="Q147" s="178"/>
      <c r="R147" s="150"/>
      <c r="S147" s="150"/>
      <c r="T147" s="178"/>
      <c r="U147" s="178"/>
      <c r="V147" s="150"/>
      <c r="W147" s="150"/>
      <c r="X147" s="178"/>
      <c r="Y147" s="178"/>
      <c r="Z147" s="86"/>
      <c r="AA147" s="1"/>
      <c r="AB147" s="1"/>
      <c r="AC147" s="54"/>
      <c r="AD147" s="55"/>
      <c r="AE147" s="56"/>
      <c r="AF147" s="2"/>
      <c r="AG147" s="2"/>
      <c r="AH147" s="2"/>
      <c r="AI147" s="2"/>
      <c r="AJ147" s="2"/>
      <c r="AK147" s="2"/>
      <c r="AL147" s="2"/>
      <c r="AM147" s="2"/>
      <c r="AN147" s="2"/>
      <c r="AO147" s="2"/>
      <c r="AP147" s="2"/>
      <c r="AQ147" s="2"/>
    </row>
    <row r="148" spans="1:43" ht="2.25" customHeight="1">
      <c r="A148" s="2"/>
      <c r="B148" s="4"/>
      <c r="C148" s="179"/>
      <c r="D14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48" s="53"/>
      <c r="F148" s="93"/>
      <c r="G148" s="94"/>
      <c r="H148" s="178">
        <f>IF(TYPE(MATCH(20*(ROW()-7)/200,Input!$L$17:$L$36,1))&lt;&gt;16,IF(20*(ROW()-7)/200&gt;MAX(Input!$L$17:$L$36),"",INDEX(Input!$O$17:$O$36,MATCH(20*(ROW()-7)/200,Input!$L$17:$L$36,1)+1)),Input!$O$17)</f>
        <v>14.775</v>
      </c>
      <c r="I148" s="187">
        <f>IF(H148="","",INDEX(Input!$G$17:$G$36,MATCH($H148,Input!$O$17:$O$36,0)))</f>
        <v>8</v>
      </c>
      <c r="J148" s="178">
        <f>IF(INDEX(Input!$C$17:$C$36,MATCH($H148,Input!$O$17:$O$36,0))=0,"",INDEX(Input!$C$17:$C$36,MATCH($H148,Input!$O$17:$O$36,0)))</f>
        <v>19.420000000000002</v>
      </c>
      <c r="K148" s="178">
        <f>IF(INDEX(Input!$P$17:$P$36,MATCH($H148,Input!$O$17:$O$36,0))=0,"",INDEX(Input!$P$17:$P$36,MATCH($H148,Input!$O$17:$O$36,0)))</f>
        <v>278.71800000000002</v>
      </c>
      <c r="L148" s="178">
        <f>IF(INDEX(Input!$Q$17:$Q$36,MATCH($H148,Input!$O$17:$O$36,0))=0,"",INDEX(Input!$Q$17:$Q$36,MATCH($H148,Input!$O$17:$O$36,0)))</f>
        <v>133.77525</v>
      </c>
      <c r="M148" s="187">
        <f>IF(INDEX(Input!$H$17:$H$36,MATCH($H148,Input!$O$17:$O$36,0))=0,"",INDEX(Input!$H$17:$H$36,MATCH($H148,Input!$O$17:$O$36,0)))</f>
        <v>45</v>
      </c>
      <c r="N148" s="150">
        <f>INDEX(HBF!$M$3:$M$22,MATCH($H148,Input!$O$17:$O$36,0))</f>
        <v>0.15376995849324659</v>
      </c>
      <c r="O148" s="150">
        <f>INDEX(HBF!$N$3:$N$22,MATCH($H148,Input!$O$17:$O$36,0))</f>
        <v>8.813602979138517E-2</v>
      </c>
      <c r="P148" s="178">
        <f>INDEX(HBF!$O$3:$O$22,MATCH($H148,Input!$O$17:$O$36,0))</f>
        <v>1.7446889638348198</v>
      </c>
      <c r="Q148" s="178">
        <f>INDEX(HBF!$P$3:$P$22,MATCH($H148,Input!$O$17:$O$36,0))</f>
        <v>0</v>
      </c>
      <c r="R148" s="150">
        <f>INDEX(HBF!$F$3:$F$22,MATCH($H148,Input!$O$17:$O$36,0))</f>
        <v>0.14627003880665321</v>
      </c>
      <c r="S148" s="150">
        <f>INDEX(HBF!$H$3:$H$22,MATCH($H148,Input!$O$17:$O$36,0))</f>
        <v>0.24596101337130752</v>
      </c>
      <c r="T148" s="178">
        <f>INDEX(HBF!$I$3:$I$22,MATCH($H148,Input!$O$17:$O$36,0))</f>
        <v>0.59468790115058245</v>
      </c>
      <c r="U148" s="178">
        <f>INDEX(HBF!$K$3:$K$22,MATCH($H148,Input!$O$17:$O$36,0))</f>
        <v>1.588316787366155</v>
      </c>
      <c r="V148" s="150">
        <f>INDEX(HBF!$R$3:$R$22,MATCH($H148,Input!$O$17:$O$36,0))</f>
        <v>0.1393241014198264</v>
      </c>
      <c r="W148" s="150">
        <f>INDEX(HBF!$S$3:$S$22,MATCH($H148,Input!$O$17:$O$36,0))</f>
        <v>0.32794801782841004</v>
      </c>
      <c r="X148" s="178">
        <f>INDEX(HBF!$T$3:$T$22,MATCH($H148,Input!$O$17:$O$36,0))</f>
        <v>0.42483593083561183</v>
      </c>
      <c r="Y148" s="178">
        <f>INDEX(HBF!$U$3:$U$22,MATCH($H148,Input!$O$17:$O$36,0))</f>
        <v>2.2539241960379464</v>
      </c>
      <c r="Z148" s="86"/>
      <c r="AA148" s="1"/>
      <c r="AB148" s="1"/>
      <c r="AC148" s="54"/>
      <c r="AD148" s="55"/>
      <c r="AE148" s="56"/>
      <c r="AF148" s="2"/>
      <c r="AG148" s="2"/>
      <c r="AH148" s="2"/>
      <c r="AI148" s="2"/>
      <c r="AJ148" s="2"/>
      <c r="AK148" s="2"/>
      <c r="AL148" s="2"/>
      <c r="AM148" s="2"/>
      <c r="AN148" s="2"/>
      <c r="AO148" s="2"/>
      <c r="AP148" s="2"/>
      <c r="AQ148" s="2"/>
    </row>
    <row r="149" spans="1:43" ht="2.25" customHeight="1">
      <c r="A149" s="2"/>
      <c r="B149" s="4"/>
      <c r="C149" s="180"/>
      <c r="D14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49" s="53"/>
      <c r="F149" s="93"/>
      <c r="G149" s="94"/>
      <c r="H149" s="178"/>
      <c r="I149" s="187"/>
      <c r="J149" s="178"/>
      <c r="K149" s="178"/>
      <c r="L149" s="178"/>
      <c r="M149" s="187"/>
      <c r="N149" s="150"/>
      <c r="O149" s="150"/>
      <c r="P149" s="178"/>
      <c r="Q149" s="178"/>
      <c r="R149" s="150"/>
      <c r="S149" s="150"/>
      <c r="T149" s="178"/>
      <c r="U149" s="178"/>
      <c r="V149" s="150"/>
      <c r="W149" s="150"/>
      <c r="X149" s="178"/>
      <c r="Y149" s="178"/>
      <c r="Z149" s="86"/>
      <c r="AA149" s="1"/>
      <c r="AB149" s="1"/>
      <c r="AC149" s="54"/>
      <c r="AD149" s="55"/>
      <c r="AE149" s="56"/>
      <c r="AF149" s="2"/>
      <c r="AG149" s="2"/>
      <c r="AH149" s="2"/>
      <c r="AI149" s="2"/>
      <c r="AJ149" s="2"/>
      <c r="AK149" s="2"/>
      <c r="AL149" s="2"/>
      <c r="AM149" s="2"/>
      <c r="AN149" s="2"/>
      <c r="AO149" s="2"/>
      <c r="AP149" s="2"/>
      <c r="AQ149" s="2"/>
    </row>
    <row r="150" spans="1:43" ht="2.25" customHeight="1">
      <c r="A150" s="2"/>
      <c r="B150" s="4"/>
      <c r="C150" s="180"/>
      <c r="D15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0" s="53"/>
      <c r="F150" s="93"/>
      <c r="G150" s="94"/>
      <c r="H150" s="178"/>
      <c r="I150" s="187"/>
      <c r="J150" s="178"/>
      <c r="K150" s="178"/>
      <c r="L150" s="178"/>
      <c r="M150" s="187"/>
      <c r="N150" s="150"/>
      <c r="O150" s="150"/>
      <c r="P150" s="178"/>
      <c r="Q150" s="178"/>
      <c r="R150" s="150"/>
      <c r="S150" s="150"/>
      <c r="T150" s="178"/>
      <c r="U150" s="178"/>
      <c r="V150" s="150"/>
      <c r="W150" s="150"/>
      <c r="X150" s="178"/>
      <c r="Y150" s="178"/>
      <c r="Z150" s="86"/>
      <c r="AA150" s="1"/>
      <c r="AB150" s="1"/>
      <c r="AC150" s="54"/>
      <c r="AD150" s="55"/>
      <c r="AE150" s="56"/>
      <c r="AF150" s="2"/>
      <c r="AG150" s="2"/>
      <c r="AH150" s="2"/>
      <c r="AI150" s="2"/>
      <c r="AJ150" s="2"/>
      <c r="AK150" s="2"/>
      <c r="AL150" s="2"/>
      <c r="AM150" s="2"/>
      <c r="AN150" s="2"/>
      <c r="AO150" s="2"/>
      <c r="AP150" s="2"/>
      <c r="AQ150" s="2"/>
    </row>
    <row r="151" spans="1:43" ht="2.25" customHeight="1">
      <c r="A151" s="2"/>
      <c r="B151" s="4"/>
      <c r="C151" s="180"/>
      <c r="D15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1" s="53"/>
      <c r="F151" s="93"/>
      <c r="G151" s="94"/>
      <c r="H151" s="178"/>
      <c r="I151" s="187"/>
      <c r="J151" s="178"/>
      <c r="K151" s="178"/>
      <c r="L151" s="178"/>
      <c r="M151" s="187"/>
      <c r="N151" s="150"/>
      <c r="O151" s="150"/>
      <c r="P151" s="178"/>
      <c r="Q151" s="178"/>
      <c r="R151" s="150"/>
      <c r="S151" s="150"/>
      <c r="T151" s="178"/>
      <c r="U151" s="178"/>
      <c r="V151" s="150"/>
      <c r="W151" s="150"/>
      <c r="X151" s="178"/>
      <c r="Y151" s="178"/>
      <c r="Z151" s="86"/>
      <c r="AA151" s="1"/>
      <c r="AB151" s="1"/>
      <c r="AC151" s="54"/>
      <c r="AD151" s="55"/>
      <c r="AE151" s="56"/>
      <c r="AF151" s="2"/>
      <c r="AG151" s="2"/>
      <c r="AH151" s="2"/>
      <c r="AI151" s="2"/>
      <c r="AJ151" s="2"/>
      <c r="AK151" s="2"/>
      <c r="AL151" s="2"/>
      <c r="AM151" s="2"/>
      <c r="AN151" s="2"/>
      <c r="AO151" s="2"/>
      <c r="AP151" s="2"/>
      <c r="AQ151" s="2"/>
    </row>
    <row r="152" spans="1:43" ht="2.25" customHeight="1">
      <c r="A152" s="2"/>
      <c r="B152" s="4"/>
      <c r="C152" s="179"/>
      <c r="D15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2" s="53"/>
      <c r="F152" s="93"/>
      <c r="G152" s="94"/>
      <c r="H152" s="178"/>
      <c r="I152" s="187"/>
      <c r="J152" s="178"/>
      <c r="K152" s="178"/>
      <c r="L152" s="178"/>
      <c r="M152" s="187"/>
      <c r="N152" s="150"/>
      <c r="O152" s="150"/>
      <c r="P152" s="178"/>
      <c r="Q152" s="178"/>
      <c r="R152" s="150"/>
      <c r="S152" s="150"/>
      <c r="T152" s="178"/>
      <c r="U152" s="178"/>
      <c r="V152" s="150"/>
      <c r="W152" s="150"/>
      <c r="X152" s="178"/>
      <c r="Y152" s="178"/>
      <c r="Z152" s="86"/>
      <c r="AA152" s="1"/>
      <c r="AB152" s="1"/>
      <c r="AC152" s="54"/>
      <c r="AD152" s="55"/>
      <c r="AE152" s="56"/>
      <c r="AF152" s="2"/>
      <c r="AG152" s="2"/>
      <c r="AH152" s="2"/>
      <c r="AI152" s="2"/>
      <c r="AJ152" s="2"/>
      <c r="AK152" s="2"/>
      <c r="AL152" s="2"/>
      <c r="AM152" s="2"/>
      <c r="AN152" s="2"/>
      <c r="AO152" s="2"/>
      <c r="AP152" s="2"/>
      <c r="AQ152" s="2"/>
    </row>
    <row r="153" spans="1:43" ht="2.25" customHeight="1">
      <c r="A153" s="2"/>
      <c r="B153" s="4"/>
      <c r="C153" s="180"/>
      <c r="D15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3" s="53"/>
      <c r="F153" s="93"/>
      <c r="G153" s="94"/>
      <c r="H153" s="178"/>
      <c r="I153" s="187"/>
      <c r="J153" s="178"/>
      <c r="K153" s="178"/>
      <c r="L153" s="178"/>
      <c r="M153" s="187"/>
      <c r="N153" s="150"/>
      <c r="O153" s="150"/>
      <c r="P153" s="178"/>
      <c r="Q153" s="178"/>
      <c r="R153" s="150"/>
      <c r="S153" s="150"/>
      <c r="T153" s="178"/>
      <c r="U153" s="178"/>
      <c r="V153" s="150"/>
      <c r="W153" s="150"/>
      <c r="X153" s="178"/>
      <c r="Y153" s="178"/>
      <c r="Z153" s="86"/>
      <c r="AA153" s="1"/>
      <c r="AB153" s="1"/>
      <c r="AC153" s="54"/>
      <c r="AD153" s="55"/>
      <c r="AE153" s="56"/>
      <c r="AF153" s="2"/>
      <c r="AG153" s="2"/>
      <c r="AH153" s="2"/>
      <c r="AI153" s="2"/>
      <c r="AJ153" s="2"/>
      <c r="AK153" s="2"/>
      <c r="AL153" s="2"/>
      <c r="AM153" s="2"/>
      <c r="AN153" s="2"/>
      <c r="AO153" s="2"/>
      <c r="AP153" s="2"/>
      <c r="AQ153" s="2"/>
    </row>
    <row r="154" spans="1:43" ht="2.25" customHeight="1">
      <c r="A154" s="2"/>
      <c r="B154" s="4"/>
      <c r="C154" s="180"/>
      <c r="D15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4" s="53"/>
      <c r="F154" s="93"/>
      <c r="G154" s="94"/>
      <c r="H154" s="178"/>
      <c r="I154" s="187"/>
      <c r="J154" s="178"/>
      <c r="K154" s="178"/>
      <c r="L154" s="178"/>
      <c r="M154" s="187"/>
      <c r="N154" s="150"/>
      <c r="O154" s="150"/>
      <c r="P154" s="178"/>
      <c r="Q154" s="178"/>
      <c r="R154" s="150"/>
      <c r="S154" s="150"/>
      <c r="T154" s="178"/>
      <c r="U154" s="178"/>
      <c r="V154" s="150"/>
      <c r="W154" s="150"/>
      <c r="X154" s="178"/>
      <c r="Y154" s="178"/>
      <c r="Z154" s="86"/>
      <c r="AA154" s="1"/>
      <c r="AB154" s="1"/>
      <c r="AC154" s="54"/>
      <c r="AD154" s="55"/>
      <c r="AE154" s="56"/>
      <c r="AF154" s="2"/>
      <c r="AG154" s="2"/>
      <c r="AH154" s="2"/>
      <c r="AI154" s="2"/>
      <c r="AJ154" s="2"/>
      <c r="AK154" s="2"/>
      <c r="AL154" s="2"/>
      <c r="AM154" s="2"/>
      <c r="AN154" s="2"/>
      <c r="AO154" s="2"/>
      <c r="AP154" s="2"/>
      <c r="AQ154" s="2"/>
    </row>
    <row r="155" spans="1:43" ht="2.25" customHeight="1">
      <c r="A155" s="2"/>
      <c r="B155" s="4"/>
      <c r="C155" s="180"/>
      <c r="D15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5" s="53"/>
      <c r="F155" s="93"/>
      <c r="G155" s="94"/>
      <c r="H155" s="178"/>
      <c r="I155" s="187"/>
      <c r="J155" s="178"/>
      <c r="K155" s="178"/>
      <c r="L155" s="178"/>
      <c r="M155" s="187"/>
      <c r="N155" s="150"/>
      <c r="O155" s="150"/>
      <c r="P155" s="178"/>
      <c r="Q155" s="178"/>
      <c r="R155" s="150"/>
      <c r="S155" s="150"/>
      <c r="T155" s="178"/>
      <c r="U155" s="178"/>
      <c r="V155" s="150"/>
      <c r="W155" s="150"/>
      <c r="X155" s="178"/>
      <c r="Y155" s="178"/>
      <c r="Z155" s="86"/>
      <c r="AA155" s="1"/>
      <c r="AB155" s="1"/>
      <c r="AC155" s="54"/>
      <c r="AD155" s="55"/>
      <c r="AE155" s="56"/>
      <c r="AF155" s="2"/>
      <c r="AG155" s="2"/>
      <c r="AH155" s="2"/>
      <c r="AI155" s="2"/>
      <c r="AJ155" s="2"/>
      <c r="AK155" s="2"/>
      <c r="AL155" s="2"/>
      <c r="AM155" s="2"/>
      <c r="AN155" s="2"/>
      <c r="AO155" s="2"/>
      <c r="AP155" s="2"/>
      <c r="AQ155" s="2"/>
    </row>
    <row r="156" spans="1:43" ht="2.25" customHeight="1">
      <c r="A156" s="2"/>
      <c r="B156" s="4"/>
      <c r="C156" s="179"/>
      <c r="D15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6" s="53"/>
      <c r="F156" s="93"/>
      <c r="G156" s="94"/>
      <c r="H156" s="178"/>
      <c r="I156" s="187"/>
      <c r="J156" s="178"/>
      <c r="K156" s="178"/>
      <c r="L156" s="178"/>
      <c r="M156" s="187"/>
      <c r="N156" s="150"/>
      <c r="O156" s="150"/>
      <c r="P156" s="178"/>
      <c r="Q156" s="178"/>
      <c r="R156" s="150"/>
      <c r="S156" s="150"/>
      <c r="T156" s="178"/>
      <c r="U156" s="178"/>
      <c r="V156" s="150"/>
      <c r="W156" s="150"/>
      <c r="X156" s="178"/>
      <c r="Y156" s="178"/>
      <c r="Z156" s="86"/>
      <c r="AA156" s="1"/>
      <c r="AB156" s="1"/>
      <c r="AC156" s="54"/>
      <c r="AD156" s="55"/>
      <c r="AE156" s="56"/>
      <c r="AF156" s="2"/>
      <c r="AG156" s="2"/>
      <c r="AH156" s="2"/>
      <c r="AI156" s="2"/>
      <c r="AJ156" s="2"/>
      <c r="AK156" s="2"/>
      <c r="AL156" s="2"/>
      <c r="AM156" s="2"/>
      <c r="AN156" s="2"/>
      <c r="AO156" s="2"/>
      <c r="AP156" s="2"/>
      <c r="AQ156" s="2"/>
    </row>
    <row r="157" spans="1:43" ht="2.25" customHeight="1">
      <c r="A157" s="2"/>
      <c r="B157" s="4"/>
      <c r="C157" s="180"/>
      <c r="D15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7" s="53"/>
      <c r="F157" s="93"/>
      <c r="G157" s="94"/>
      <c r="H157" s="178"/>
      <c r="I157" s="187"/>
      <c r="J157" s="178"/>
      <c r="K157" s="178"/>
      <c r="L157" s="178"/>
      <c r="M157" s="187"/>
      <c r="N157" s="150"/>
      <c r="O157" s="150"/>
      <c r="P157" s="178"/>
      <c r="Q157" s="178"/>
      <c r="R157" s="150"/>
      <c r="S157" s="150"/>
      <c r="T157" s="178"/>
      <c r="U157" s="178"/>
      <c r="V157" s="150"/>
      <c r="W157" s="150"/>
      <c r="X157" s="178"/>
      <c r="Y157" s="178"/>
      <c r="Z157" s="86"/>
      <c r="AA157" s="1"/>
      <c r="AB157" s="1"/>
      <c r="AC157" s="54"/>
      <c r="AD157" s="55"/>
      <c r="AE157" s="56"/>
      <c r="AF157" s="2"/>
      <c r="AG157" s="2"/>
      <c r="AH157" s="2"/>
      <c r="AI157" s="2"/>
      <c r="AJ157" s="2"/>
      <c r="AK157" s="2"/>
      <c r="AL157" s="2"/>
      <c r="AM157" s="2"/>
      <c r="AN157" s="2"/>
      <c r="AO157" s="2"/>
      <c r="AP157" s="2"/>
      <c r="AQ157" s="2"/>
    </row>
    <row r="158" spans="1:43" ht="2.25" customHeight="1">
      <c r="A158" s="2"/>
      <c r="B158" s="4"/>
      <c r="C158" s="180"/>
      <c r="D15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8" s="53"/>
      <c r="F158" s="93"/>
      <c r="G158" s="94"/>
      <c r="H158" s="178"/>
      <c r="I158" s="187"/>
      <c r="J158" s="178"/>
      <c r="K158" s="178"/>
      <c r="L158" s="178"/>
      <c r="M158" s="187"/>
      <c r="N158" s="150"/>
      <c r="O158" s="150"/>
      <c r="P158" s="178"/>
      <c r="Q158" s="178"/>
      <c r="R158" s="150"/>
      <c r="S158" s="150"/>
      <c r="T158" s="178"/>
      <c r="U158" s="178"/>
      <c r="V158" s="150"/>
      <c r="W158" s="150"/>
      <c r="X158" s="178"/>
      <c r="Y158" s="178"/>
      <c r="Z158" s="86"/>
      <c r="AA158" s="1"/>
      <c r="AB158" s="1"/>
      <c r="AC158" s="54"/>
      <c r="AD158" s="55"/>
      <c r="AE158" s="56"/>
      <c r="AF158" s="2"/>
      <c r="AG158" s="2"/>
      <c r="AH158" s="2"/>
      <c r="AI158" s="2"/>
      <c r="AJ158" s="2"/>
      <c r="AK158" s="2"/>
      <c r="AL158" s="2"/>
      <c r="AM158" s="2"/>
      <c r="AN158" s="2"/>
      <c r="AO158" s="2"/>
      <c r="AP158" s="2"/>
      <c r="AQ158" s="2"/>
    </row>
    <row r="159" spans="1:43" ht="2.25" customHeight="1">
      <c r="A159" s="2"/>
      <c r="B159" s="4"/>
      <c r="C159" s="180"/>
      <c r="D15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59" s="53"/>
      <c r="F159" s="93"/>
      <c r="G159" s="94"/>
      <c r="H159" s="178"/>
      <c r="I159" s="187"/>
      <c r="J159" s="178"/>
      <c r="K159" s="178"/>
      <c r="L159" s="178"/>
      <c r="M159" s="187"/>
      <c r="N159" s="150"/>
      <c r="O159" s="150"/>
      <c r="P159" s="178"/>
      <c r="Q159" s="178"/>
      <c r="R159" s="150"/>
      <c r="S159" s="150"/>
      <c r="T159" s="178"/>
      <c r="U159" s="178"/>
      <c r="V159" s="150"/>
      <c r="W159" s="150"/>
      <c r="X159" s="178"/>
      <c r="Y159" s="178"/>
      <c r="Z159" s="86"/>
      <c r="AA159" s="1"/>
      <c r="AB159" s="1"/>
      <c r="AC159" s="54"/>
      <c r="AD159" s="55"/>
      <c r="AE159" s="56"/>
      <c r="AF159" s="2"/>
      <c r="AG159" s="2"/>
      <c r="AH159" s="2"/>
      <c r="AI159" s="2"/>
      <c r="AJ159" s="2"/>
      <c r="AK159" s="2"/>
      <c r="AL159" s="2"/>
      <c r="AM159" s="2"/>
      <c r="AN159" s="2"/>
      <c r="AO159" s="2"/>
      <c r="AP159" s="2"/>
      <c r="AQ159" s="2"/>
    </row>
    <row r="160" spans="1:43" ht="2.25" customHeight="1">
      <c r="A160" s="2"/>
      <c r="B160" s="4"/>
      <c r="C160" s="179"/>
      <c r="D16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60" s="53"/>
      <c r="F160" s="93"/>
      <c r="G160" s="94"/>
      <c r="H160" s="178"/>
      <c r="I160" s="187"/>
      <c r="J160" s="178"/>
      <c r="K160" s="178"/>
      <c r="L160" s="178"/>
      <c r="M160" s="187"/>
      <c r="N160" s="150"/>
      <c r="O160" s="150"/>
      <c r="P160" s="178"/>
      <c r="Q160" s="178"/>
      <c r="R160" s="150"/>
      <c r="S160" s="150"/>
      <c r="T160" s="178"/>
      <c r="U160" s="178"/>
      <c r="V160" s="150"/>
      <c r="W160" s="150"/>
      <c r="X160" s="178"/>
      <c r="Y160" s="178"/>
      <c r="Z160" s="86"/>
      <c r="AA160" s="1"/>
      <c r="AB160" s="1"/>
      <c r="AC160" s="54"/>
      <c r="AD160" s="55"/>
      <c r="AE160" s="56"/>
      <c r="AF160" s="2"/>
      <c r="AG160" s="2"/>
      <c r="AH160" s="2"/>
      <c r="AI160" s="2"/>
      <c r="AJ160" s="2"/>
      <c r="AK160" s="2"/>
      <c r="AL160" s="2"/>
      <c r="AM160" s="2"/>
      <c r="AN160" s="2"/>
      <c r="AO160" s="2"/>
      <c r="AP160" s="2"/>
      <c r="AQ160" s="2"/>
    </row>
    <row r="161" spans="1:43" ht="2.25" customHeight="1">
      <c r="A161" s="2"/>
      <c r="B161" s="4"/>
      <c r="C161" s="180"/>
      <c r="D16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61" s="53"/>
      <c r="F161" s="93"/>
      <c r="G161" s="94"/>
      <c r="H161" s="178"/>
      <c r="I161" s="187"/>
      <c r="J161" s="178"/>
      <c r="K161" s="178"/>
      <c r="L161" s="178"/>
      <c r="M161" s="187"/>
      <c r="N161" s="150"/>
      <c r="O161" s="150"/>
      <c r="P161" s="178"/>
      <c r="Q161" s="178"/>
      <c r="R161" s="150"/>
      <c r="S161" s="150"/>
      <c r="T161" s="178"/>
      <c r="U161" s="178"/>
      <c r="V161" s="150"/>
      <c r="W161" s="150"/>
      <c r="X161" s="178"/>
      <c r="Y161" s="178"/>
      <c r="Z161" s="86"/>
      <c r="AA161" s="1"/>
      <c r="AB161" s="1"/>
      <c r="AC161" s="54"/>
      <c r="AD161" s="55"/>
      <c r="AE161" s="56"/>
      <c r="AF161" s="2"/>
      <c r="AG161" s="2"/>
      <c r="AH161" s="2"/>
      <c r="AI161" s="2"/>
      <c r="AJ161" s="2"/>
      <c r="AK161" s="2"/>
      <c r="AL161" s="2"/>
      <c r="AM161" s="2"/>
      <c r="AN161" s="2"/>
      <c r="AO161" s="2"/>
      <c r="AP161" s="2"/>
      <c r="AQ161" s="2"/>
    </row>
    <row r="162" spans="1:43" ht="2.25" customHeight="1">
      <c r="A162" s="2"/>
      <c r="B162" s="4"/>
      <c r="C162" s="180"/>
      <c r="D16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SM</v>
      </c>
      <c r="E162" s="53"/>
      <c r="F162" s="93"/>
      <c r="G162" s="94"/>
      <c r="H162" s="178"/>
      <c r="I162" s="187"/>
      <c r="J162" s="178"/>
      <c r="K162" s="178"/>
      <c r="L162" s="178"/>
      <c r="M162" s="187"/>
      <c r="N162" s="150"/>
      <c r="O162" s="150"/>
      <c r="P162" s="178"/>
      <c r="Q162" s="178"/>
      <c r="R162" s="150"/>
      <c r="S162" s="150"/>
      <c r="T162" s="178"/>
      <c r="U162" s="178"/>
      <c r="V162" s="150"/>
      <c r="W162" s="150"/>
      <c r="X162" s="178"/>
      <c r="Y162" s="178"/>
      <c r="Z162" s="86"/>
      <c r="AA162" s="1"/>
      <c r="AB162" s="1"/>
      <c r="AC162" s="54"/>
      <c r="AD162" s="55"/>
      <c r="AE162" s="56"/>
      <c r="AF162" s="2"/>
      <c r="AG162" s="2"/>
      <c r="AH162" s="2"/>
      <c r="AI162" s="2"/>
      <c r="AJ162" s="2"/>
      <c r="AK162" s="2"/>
      <c r="AL162" s="2"/>
      <c r="AM162" s="2"/>
      <c r="AN162" s="2"/>
      <c r="AO162" s="2"/>
      <c r="AP162" s="2"/>
      <c r="AQ162" s="2"/>
    </row>
    <row r="163" spans="1:43" ht="2.25" customHeight="1">
      <c r="A163" s="2"/>
      <c r="B163" s="4"/>
      <c r="C163" s="180"/>
      <c r="D16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3" s="53"/>
      <c r="F163" s="93"/>
      <c r="G163" s="94"/>
      <c r="H163" s="178">
        <f>IF(TYPE(MATCH(20*(ROW()-7)/200,Input!$L$17:$L$36,1))&lt;&gt;16,IF(20*(ROW()-7)/200&gt;MAX(Input!$L$17:$L$36),"",INDEX(Input!$O$17:$O$36,MATCH(20*(ROW()-7)/200,Input!$L$17:$L$36,1)+1)),Input!$O$17)</f>
        <v>16.274999999999999</v>
      </c>
      <c r="I163" s="187">
        <f>IF(H163="","",INDEX(Input!$G$17:$G$36,MATCH($H163,Input!$O$17:$O$36,0)))</f>
        <v>6</v>
      </c>
      <c r="J163" s="178">
        <f>IF(INDEX(Input!$C$17:$C$36,MATCH($H163,Input!$O$17:$O$36,0))=0,"",INDEX(Input!$C$17:$C$36,MATCH($H163,Input!$O$17:$O$36,0)))</f>
        <v>18.64</v>
      </c>
      <c r="K163" s="178">
        <f>IF(INDEX(Input!$P$17:$P$36,MATCH($H163,Input!$O$17:$O$36,0))=0,"",INDEX(Input!$P$17:$P$36,MATCH($H163,Input!$O$17:$O$36,0)))</f>
        <v>307.26299999999998</v>
      </c>
      <c r="L163" s="178">
        <f>IF(INDEX(Input!$Q$17:$Q$36,MATCH($H163,Input!$O$17:$O$36,0))=0,"",INDEX(Input!$Q$17:$Q$36,MATCH($H163,Input!$O$17:$O$36,0)))</f>
        <v>147.60524999999998</v>
      </c>
      <c r="M163" s="187">
        <f>IF(INDEX(Input!$H$17:$H$36,MATCH($H163,Input!$O$17:$O$36,0))=0,"",INDEX(Input!$H$17:$H$36,MATCH($H163,Input!$O$17:$O$36,0)))</f>
        <v>97</v>
      </c>
      <c r="N163" s="150" t="str">
        <f>INDEX(HBF!$M$3:$M$22,MATCH($H163,Input!$O$17:$O$36,0))</f>
        <v>－</v>
      </c>
      <c r="O163" s="150" t="str">
        <f>INDEX(HBF!$N$3:$N$22,MATCH($H163,Input!$O$17:$O$36,0))</f>
        <v>－</v>
      </c>
      <c r="P163" s="178">
        <f>INDEX(HBF!$O$3:$O$22,MATCH($H163,Input!$O$17:$O$36,0))</f>
        <v>3</v>
      </c>
      <c r="Q163" s="178">
        <f>INDEX(HBF!$P$3:$P$22,MATCH($H163,Input!$O$17:$O$36,0))</f>
        <v>0</v>
      </c>
      <c r="R163" s="150" t="str">
        <f>INDEX(HBF!$F$3:$F$22,MATCH($H163,Input!$O$17:$O$36,0))</f>
        <v>－</v>
      </c>
      <c r="S163" s="150" t="str">
        <f>INDEX(HBF!$H$3:$H$22,MATCH($H163,Input!$O$17:$O$36,0))</f>
        <v>－</v>
      </c>
      <c r="T163" s="178">
        <f>INDEX(HBF!$I$3:$I$22,MATCH($H163,Input!$O$17:$O$36,0))</f>
        <v>3</v>
      </c>
      <c r="U163" s="178">
        <f>INDEX(HBF!$K$3:$K$22,MATCH($H163,Input!$O$17:$O$36,0))</f>
        <v>0</v>
      </c>
      <c r="V163" s="150" t="str">
        <f>INDEX(HBF!$R$3:$R$22,MATCH($H163,Input!$O$17:$O$36,0))</f>
        <v>－</v>
      </c>
      <c r="W163" s="150" t="str">
        <f>INDEX(HBF!$S$3:$S$22,MATCH($H163,Input!$O$17:$O$36,0))</f>
        <v>－</v>
      </c>
      <c r="X163" s="178">
        <f>INDEX(HBF!$T$3:$T$22,MATCH($H163,Input!$O$17:$O$36,0))</f>
        <v>3</v>
      </c>
      <c r="Y163" s="178">
        <f>INDEX(HBF!$U$3:$U$22,MATCH($H163,Input!$O$17:$O$36,0))</f>
        <v>0</v>
      </c>
      <c r="Z163" s="86"/>
      <c r="AA163" s="1"/>
      <c r="AB163" s="1"/>
      <c r="AC163" s="54"/>
      <c r="AD163" s="55"/>
      <c r="AE163" s="56"/>
      <c r="AF163" s="2"/>
      <c r="AG163" s="2"/>
      <c r="AH163" s="2"/>
      <c r="AI163" s="2"/>
      <c r="AJ163" s="2"/>
      <c r="AK163" s="2"/>
      <c r="AL163" s="2"/>
      <c r="AM163" s="2"/>
      <c r="AN163" s="2"/>
      <c r="AO163" s="2"/>
      <c r="AP163" s="2"/>
      <c r="AQ163" s="2"/>
    </row>
    <row r="164" spans="1:43" ht="2.25" customHeight="1">
      <c r="A164" s="2"/>
      <c r="B164" s="4"/>
      <c r="C164" s="179"/>
      <c r="D16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4" s="53"/>
      <c r="F164" s="93"/>
      <c r="G164" s="94"/>
      <c r="H164" s="178"/>
      <c r="I164" s="187"/>
      <c r="J164" s="178"/>
      <c r="K164" s="178"/>
      <c r="L164" s="178"/>
      <c r="M164" s="187"/>
      <c r="N164" s="150"/>
      <c r="O164" s="150"/>
      <c r="P164" s="178"/>
      <c r="Q164" s="178"/>
      <c r="R164" s="150"/>
      <c r="S164" s="150"/>
      <c r="T164" s="178"/>
      <c r="U164" s="178"/>
      <c r="V164" s="150"/>
      <c r="W164" s="150"/>
      <c r="X164" s="178"/>
      <c r="Y164" s="178"/>
      <c r="Z164" s="86"/>
      <c r="AA164" s="1"/>
      <c r="AB164" s="1"/>
      <c r="AC164" s="54"/>
      <c r="AD164" s="55"/>
      <c r="AE164" s="56"/>
      <c r="AF164" s="2"/>
      <c r="AG164" s="2"/>
      <c r="AH164" s="2"/>
      <c r="AI164" s="2"/>
      <c r="AJ164" s="2"/>
      <c r="AK164" s="2"/>
      <c r="AL164" s="2"/>
      <c r="AM164" s="2"/>
      <c r="AN164" s="2"/>
      <c r="AO164" s="2"/>
      <c r="AP164" s="2"/>
      <c r="AQ164" s="2"/>
    </row>
    <row r="165" spans="1:43" ht="2.25" customHeight="1">
      <c r="A165" s="2"/>
      <c r="B165" s="4"/>
      <c r="C165" s="180"/>
      <c r="D16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5" s="53"/>
      <c r="F165" s="93"/>
      <c r="G165" s="94"/>
      <c r="H165" s="178"/>
      <c r="I165" s="187"/>
      <c r="J165" s="178"/>
      <c r="K165" s="178"/>
      <c r="L165" s="178"/>
      <c r="M165" s="187"/>
      <c r="N165" s="150"/>
      <c r="O165" s="150"/>
      <c r="P165" s="178"/>
      <c r="Q165" s="178"/>
      <c r="R165" s="150"/>
      <c r="S165" s="150"/>
      <c r="T165" s="178"/>
      <c r="U165" s="178"/>
      <c r="V165" s="150"/>
      <c r="W165" s="150"/>
      <c r="X165" s="178"/>
      <c r="Y165" s="178"/>
      <c r="Z165" s="86"/>
      <c r="AA165" s="1"/>
      <c r="AB165" s="1"/>
      <c r="AC165" s="54"/>
      <c r="AD165" s="55"/>
      <c r="AE165" s="56"/>
      <c r="AF165" s="2"/>
      <c r="AG165" s="2"/>
      <c r="AH165" s="2"/>
      <c r="AI165" s="2"/>
      <c r="AJ165" s="2"/>
      <c r="AK165" s="2"/>
      <c r="AL165" s="2"/>
      <c r="AM165" s="2"/>
      <c r="AN165" s="2"/>
      <c r="AO165" s="2"/>
      <c r="AP165" s="2"/>
      <c r="AQ165" s="2"/>
    </row>
    <row r="166" spans="1:43" ht="2.25" customHeight="1">
      <c r="A166" s="2"/>
      <c r="B166" s="4"/>
      <c r="C166" s="180"/>
      <c r="D16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6" s="53"/>
      <c r="F166" s="93"/>
      <c r="G166" s="94"/>
      <c r="H166" s="178"/>
      <c r="I166" s="187"/>
      <c r="J166" s="178"/>
      <c r="K166" s="178"/>
      <c r="L166" s="178"/>
      <c r="M166" s="187"/>
      <c r="N166" s="150"/>
      <c r="O166" s="150"/>
      <c r="P166" s="178"/>
      <c r="Q166" s="178"/>
      <c r="R166" s="150"/>
      <c r="S166" s="150"/>
      <c r="T166" s="178"/>
      <c r="U166" s="178"/>
      <c r="V166" s="150"/>
      <c r="W166" s="150"/>
      <c r="X166" s="178"/>
      <c r="Y166" s="178"/>
      <c r="Z166" s="86"/>
      <c r="AA166" s="1"/>
      <c r="AB166" s="1"/>
      <c r="AC166" s="54"/>
      <c r="AD166" s="55"/>
      <c r="AE166" s="56"/>
      <c r="AF166" s="2"/>
      <c r="AG166" s="2"/>
      <c r="AH166" s="2"/>
      <c r="AI166" s="2"/>
      <c r="AJ166" s="2"/>
      <c r="AK166" s="2"/>
      <c r="AL166" s="2"/>
      <c r="AM166" s="2"/>
      <c r="AN166" s="2"/>
      <c r="AO166" s="2"/>
      <c r="AP166" s="2"/>
      <c r="AQ166" s="2"/>
    </row>
    <row r="167" spans="1:43" ht="2.25" customHeight="1">
      <c r="A167" s="2"/>
      <c r="B167" s="4"/>
      <c r="C167" s="180"/>
      <c r="D16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7" s="53"/>
      <c r="F167" s="93"/>
      <c r="G167" s="94"/>
      <c r="H167" s="178"/>
      <c r="I167" s="187"/>
      <c r="J167" s="178"/>
      <c r="K167" s="178"/>
      <c r="L167" s="178"/>
      <c r="M167" s="187"/>
      <c r="N167" s="150"/>
      <c r="O167" s="150"/>
      <c r="P167" s="178"/>
      <c r="Q167" s="178"/>
      <c r="R167" s="150"/>
      <c r="S167" s="150"/>
      <c r="T167" s="178"/>
      <c r="U167" s="178"/>
      <c r="V167" s="150"/>
      <c r="W167" s="150"/>
      <c r="X167" s="178"/>
      <c r="Y167" s="178"/>
      <c r="Z167" s="86"/>
      <c r="AA167" s="1"/>
      <c r="AB167" s="1"/>
      <c r="AC167" s="54"/>
      <c r="AD167" s="55"/>
      <c r="AE167" s="56"/>
      <c r="AF167" s="2"/>
      <c r="AG167" s="2"/>
      <c r="AH167" s="2"/>
      <c r="AI167" s="2"/>
      <c r="AJ167" s="2"/>
      <c r="AK167" s="2"/>
      <c r="AL167" s="2"/>
      <c r="AM167" s="2"/>
      <c r="AN167" s="2"/>
      <c r="AO167" s="2"/>
      <c r="AP167" s="2"/>
      <c r="AQ167" s="2"/>
    </row>
    <row r="168" spans="1:43" ht="2.25" customHeight="1">
      <c r="A168" s="2"/>
      <c r="B168" s="4"/>
      <c r="C168" s="179"/>
      <c r="D16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8" s="53"/>
      <c r="F168" s="93"/>
      <c r="G168" s="94"/>
      <c r="H168" s="178"/>
      <c r="I168" s="187"/>
      <c r="J168" s="178"/>
      <c r="K168" s="178"/>
      <c r="L168" s="178"/>
      <c r="M168" s="187"/>
      <c r="N168" s="150"/>
      <c r="O168" s="150"/>
      <c r="P168" s="178"/>
      <c r="Q168" s="178"/>
      <c r="R168" s="150"/>
      <c r="S168" s="150"/>
      <c r="T168" s="178"/>
      <c r="U168" s="178"/>
      <c r="V168" s="150"/>
      <c r="W168" s="150"/>
      <c r="X168" s="178"/>
      <c r="Y168" s="178"/>
      <c r="Z168" s="86"/>
      <c r="AA168" s="1"/>
      <c r="AB168" s="1"/>
      <c r="AC168" s="54"/>
      <c r="AD168" s="55"/>
      <c r="AE168" s="56"/>
      <c r="AF168" s="2"/>
      <c r="AG168" s="2"/>
      <c r="AH168" s="2"/>
      <c r="AI168" s="2"/>
      <c r="AJ168" s="2"/>
      <c r="AK168" s="2"/>
      <c r="AL168" s="2"/>
      <c r="AM168" s="2"/>
      <c r="AN168" s="2"/>
      <c r="AO168" s="2"/>
      <c r="AP168" s="2"/>
      <c r="AQ168" s="2"/>
    </row>
    <row r="169" spans="1:43" ht="2.25" customHeight="1">
      <c r="A169" s="2"/>
      <c r="B169" s="4"/>
      <c r="C169" s="180"/>
      <c r="D16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69" s="53"/>
      <c r="F169" s="93"/>
      <c r="G169" s="94"/>
      <c r="H169" s="178"/>
      <c r="I169" s="187"/>
      <c r="J169" s="178"/>
      <c r="K169" s="178"/>
      <c r="L169" s="178"/>
      <c r="M169" s="187"/>
      <c r="N169" s="150"/>
      <c r="O169" s="150"/>
      <c r="P169" s="178"/>
      <c r="Q169" s="178"/>
      <c r="R169" s="150"/>
      <c r="S169" s="150"/>
      <c r="T169" s="178"/>
      <c r="U169" s="178"/>
      <c r="V169" s="150"/>
      <c r="W169" s="150"/>
      <c r="X169" s="178"/>
      <c r="Y169" s="178"/>
      <c r="Z169" s="86"/>
      <c r="AA169" s="1"/>
      <c r="AB169" s="1"/>
      <c r="AC169" s="54"/>
      <c r="AD169" s="55"/>
      <c r="AE169" s="56"/>
      <c r="AF169" s="2"/>
      <c r="AG169" s="2"/>
      <c r="AH169" s="2"/>
      <c r="AI169" s="2"/>
      <c r="AJ169" s="2"/>
      <c r="AK169" s="2"/>
      <c r="AL169" s="2"/>
      <c r="AM169" s="2"/>
      <c r="AN169" s="2"/>
      <c r="AO169" s="2"/>
      <c r="AP169" s="2"/>
      <c r="AQ169" s="2"/>
    </row>
    <row r="170" spans="1:43" ht="2.25" customHeight="1">
      <c r="A170" s="2"/>
      <c r="B170" s="4"/>
      <c r="C170" s="180"/>
      <c r="D17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0" s="53"/>
      <c r="F170" s="93"/>
      <c r="G170" s="94"/>
      <c r="H170" s="178"/>
      <c r="I170" s="187"/>
      <c r="J170" s="178"/>
      <c r="K170" s="178"/>
      <c r="L170" s="178"/>
      <c r="M170" s="187"/>
      <c r="N170" s="150"/>
      <c r="O170" s="150"/>
      <c r="P170" s="178"/>
      <c r="Q170" s="178"/>
      <c r="R170" s="150"/>
      <c r="S170" s="150"/>
      <c r="T170" s="178"/>
      <c r="U170" s="178"/>
      <c r="V170" s="150"/>
      <c r="W170" s="150"/>
      <c r="X170" s="178"/>
      <c r="Y170" s="178"/>
      <c r="Z170" s="86"/>
      <c r="AA170" s="1"/>
      <c r="AB170" s="1"/>
      <c r="AC170" s="54"/>
      <c r="AD170" s="55"/>
      <c r="AE170" s="56"/>
      <c r="AF170" s="2"/>
      <c r="AG170" s="2"/>
      <c r="AH170" s="2"/>
      <c r="AI170" s="2"/>
      <c r="AJ170" s="2"/>
      <c r="AK170" s="2"/>
      <c r="AL170" s="2"/>
      <c r="AM170" s="2"/>
      <c r="AN170" s="2"/>
      <c r="AO170" s="2"/>
      <c r="AP170" s="2"/>
      <c r="AQ170" s="2"/>
    </row>
    <row r="171" spans="1:43" ht="2.25" customHeight="1">
      <c r="A171" s="2"/>
      <c r="B171" s="4"/>
      <c r="C171" s="180"/>
      <c r="D17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1" s="53"/>
      <c r="F171" s="93"/>
      <c r="G171" s="94"/>
      <c r="H171" s="178"/>
      <c r="I171" s="187"/>
      <c r="J171" s="178"/>
      <c r="K171" s="178"/>
      <c r="L171" s="178"/>
      <c r="M171" s="187"/>
      <c r="N171" s="150"/>
      <c r="O171" s="150"/>
      <c r="P171" s="178"/>
      <c r="Q171" s="178"/>
      <c r="R171" s="150"/>
      <c r="S171" s="150"/>
      <c r="T171" s="178"/>
      <c r="U171" s="178"/>
      <c r="V171" s="150"/>
      <c r="W171" s="150"/>
      <c r="X171" s="178"/>
      <c r="Y171" s="178"/>
      <c r="Z171" s="86"/>
      <c r="AA171" s="1"/>
      <c r="AB171" s="1"/>
      <c r="AC171" s="54"/>
      <c r="AD171" s="55"/>
      <c r="AE171" s="56"/>
      <c r="AF171" s="2"/>
      <c r="AG171" s="2"/>
      <c r="AH171" s="2"/>
      <c r="AI171" s="2"/>
      <c r="AJ171" s="2"/>
      <c r="AK171" s="2"/>
      <c r="AL171" s="2"/>
      <c r="AM171" s="2"/>
      <c r="AN171" s="2"/>
      <c r="AO171" s="2"/>
      <c r="AP171" s="2"/>
      <c r="AQ171" s="2"/>
    </row>
    <row r="172" spans="1:43" ht="2.25" customHeight="1">
      <c r="A172" s="2"/>
      <c r="B172" s="4"/>
      <c r="C172" s="179"/>
      <c r="D17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2" s="53"/>
      <c r="F172" s="93"/>
      <c r="G172" s="94"/>
      <c r="H172" s="178"/>
      <c r="I172" s="187"/>
      <c r="J172" s="178"/>
      <c r="K172" s="178"/>
      <c r="L172" s="178"/>
      <c r="M172" s="187"/>
      <c r="N172" s="150"/>
      <c r="O172" s="150"/>
      <c r="P172" s="178"/>
      <c r="Q172" s="178"/>
      <c r="R172" s="150"/>
      <c r="S172" s="150"/>
      <c r="T172" s="178"/>
      <c r="U172" s="178"/>
      <c r="V172" s="150"/>
      <c r="W172" s="150"/>
      <c r="X172" s="178"/>
      <c r="Y172" s="178"/>
      <c r="Z172" s="86"/>
      <c r="AA172" s="1"/>
      <c r="AB172" s="1"/>
      <c r="AC172" s="54"/>
      <c r="AD172" s="55"/>
      <c r="AE172" s="56"/>
      <c r="AF172" s="2"/>
      <c r="AG172" s="2"/>
      <c r="AH172" s="2"/>
      <c r="AI172" s="2"/>
      <c r="AJ172" s="2"/>
      <c r="AK172" s="2"/>
      <c r="AL172" s="2"/>
      <c r="AM172" s="2"/>
      <c r="AN172" s="2"/>
      <c r="AO172" s="2"/>
      <c r="AP172" s="2"/>
      <c r="AQ172" s="2"/>
    </row>
    <row r="173" spans="1:43" ht="2.25" customHeight="1">
      <c r="A173" s="2"/>
      <c r="B173" s="4"/>
      <c r="C173" s="180"/>
      <c r="D17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3" s="53"/>
      <c r="F173" s="93"/>
      <c r="G173" s="94"/>
      <c r="H173" s="178"/>
      <c r="I173" s="187"/>
      <c r="J173" s="178"/>
      <c r="K173" s="178"/>
      <c r="L173" s="178"/>
      <c r="M173" s="187"/>
      <c r="N173" s="150"/>
      <c r="O173" s="150"/>
      <c r="P173" s="178"/>
      <c r="Q173" s="178"/>
      <c r="R173" s="150"/>
      <c r="S173" s="150"/>
      <c r="T173" s="178"/>
      <c r="U173" s="178"/>
      <c r="V173" s="150"/>
      <c r="W173" s="150"/>
      <c r="X173" s="178"/>
      <c r="Y173" s="178"/>
      <c r="Z173" s="86"/>
      <c r="AA173" s="1"/>
      <c r="AB173" s="1"/>
      <c r="AC173" s="54"/>
      <c r="AD173" s="55"/>
      <c r="AE173" s="56"/>
      <c r="AF173" s="2"/>
      <c r="AG173" s="2"/>
      <c r="AH173" s="2"/>
      <c r="AI173" s="2"/>
      <c r="AJ173" s="2"/>
      <c r="AK173" s="2"/>
      <c r="AL173" s="2"/>
      <c r="AM173" s="2"/>
      <c r="AN173" s="2"/>
      <c r="AO173" s="2"/>
      <c r="AP173" s="2"/>
      <c r="AQ173" s="2"/>
    </row>
    <row r="174" spans="1:43" ht="2.25" customHeight="1">
      <c r="A174" s="2"/>
      <c r="B174" s="4"/>
      <c r="C174" s="180"/>
      <c r="D17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4" s="53"/>
      <c r="F174" s="93"/>
      <c r="G174" s="94"/>
      <c r="H174" s="178"/>
      <c r="I174" s="187"/>
      <c r="J174" s="178"/>
      <c r="K174" s="178"/>
      <c r="L174" s="178"/>
      <c r="M174" s="187"/>
      <c r="N174" s="150"/>
      <c r="O174" s="150"/>
      <c r="P174" s="178"/>
      <c r="Q174" s="178"/>
      <c r="R174" s="150"/>
      <c r="S174" s="150"/>
      <c r="T174" s="178"/>
      <c r="U174" s="178"/>
      <c r="V174" s="150"/>
      <c r="W174" s="150"/>
      <c r="X174" s="178"/>
      <c r="Y174" s="178"/>
      <c r="Z174" s="86"/>
      <c r="AA174" s="1"/>
      <c r="AB174" s="1"/>
      <c r="AC174" s="54"/>
      <c r="AD174" s="55"/>
      <c r="AE174" s="56"/>
      <c r="AF174" s="2"/>
      <c r="AG174" s="2"/>
      <c r="AH174" s="2"/>
      <c r="AI174" s="2"/>
      <c r="AJ174" s="2"/>
      <c r="AK174" s="2"/>
      <c r="AL174" s="2"/>
      <c r="AM174" s="2"/>
      <c r="AN174" s="2"/>
      <c r="AO174" s="2"/>
      <c r="AP174" s="2"/>
      <c r="AQ174" s="2"/>
    </row>
    <row r="175" spans="1:43" ht="2.25" customHeight="1">
      <c r="A175" s="2"/>
      <c r="B175" s="4"/>
      <c r="C175" s="180"/>
      <c r="D17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5" s="53"/>
      <c r="F175" s="93"/>
      <c r="G175" s="94"/>
      <c r="H175" s="178"/>
      <c r="I175" s="187"/>
      <c r="J175" s="178"/>
      <c r="K175" s="178"/>
      <c r="L175" s="178"/>
      <c r="M175" s="187"/>
      <c r="N175" s="150"/>
      <c r="O175" s="150"/>
      <c r="P175" s="178"/>
      <c r="Q175" s="178"/>
      <c r="R175" s="150"/>
      <c r="S175" s="150"/>
      <c r="T175" s="178"/>
      <c r="U175" s="178"/>
      <c r="V175" s="150"/>
      <c r="W175" s="150"/>
      <c r="X175" s="178"/>
      <c r="Y175" s="178"/>
      <c r="Z175" s="86"/>
      <c r="AA175" s="1"/>
      <c r="AB175" s="1"/>
      <c r="AC175" s="54"/>
      <c r="AD175" s="55"/>
      <c r="AE175" s="56"/>
      <c r="AF175" s="2"/>
      <c r="AG175" s="2"/>
      <c r="AH175" s="2"/>
      <c r="AI175" s="2"/>
      <c r="AJ175" s="2"/>
      <c r="AK175" s="2"/>
      <c r="AL175" s="2"/>
      <c r="AM175" s="2"/>
      <c r="AN175" s="2"/>
      <c r="AO175" s="2"/>
      <c r="AP175" s="2"/>
      <c r="AQ175" s="2"/>
    </row>
    <row r="176" spans="1:43" ht="2.25" customHeight="1">
      <c r="A176" s="2"/>
      <c r="B176" s="4"/>
      <c r="C176" s="179"/>
      <c r="D17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6" s="53"/>
      <c r="F176" s="93"/>
      <c r="G176" s="94"/>
      <c r="H176" s="178"/>
      <c r="I176" s="187"/>
      <c r="J176" s="178"/>
      <c r="K176" s="178"/>
      <c r="L176" s="178"/>
      <c r="M176" s="187"/>
      <c r="N176" s="150"/>
      <c r="O176" s="150"/>
      <c r="P176" s="178"/>
      <c r="Q176" s="178"/>
      <c r="R176" s="150"/>
      <c r="S176" s="150"/>
      <c r="T176" s="178"/>
      <c r="U176" s="178"/>
      <c r="V176" s="150"/>
      <c r="W176" s="150"/>
      <c r="X176" s="178"/>
      <c r="Y176" s="178"/>
      <c r="Z176" s="86"/>
      <c r="AA176" s="1"/>
      <c r="AB176" s="1"/>
      <c r="AC176" s="54"/>
      <c r="AD176" s="55"/>
      <c r="AE176" s="56"/>
      <c r="AF176" s="2"/>
      <c r="AG176" s="2"/>
      <c r="AH176" s="2"/>
      <c r="AI176" s="2"/>
      <c r="AJ176" s="2"/>
      <c r="AK176" s="2"/>
      <c r="AL176" s="2"/>
      <c r="AM176" s="2"/>
      <c r="AN176" s="2"/>
      <c r="AO176" s="2"/>
      <c r="AP176" s="2"/>
      <c r="AQ176" s="2"/>
    </row>
    <row r="177" spans="1:43" ht="2.25" customHeight="1">
      <c r="A177" s="2"/>
      <c r="B177" s="4"/>
      <c r="C177" s="180"/>
      <c r="D17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7" s="53"/>
      <c r="F177" s="93"/>
      <c r="G177" s="94"/>
      <c r="H177" s="178"/>
      <c r="I177" s="187"/>
      <c r="J177" s="178"/>
      <c r="K177" s="178"/>
      <c r="L177" s="178"/>
      <c r="M177" s="187"/>
      <c r="N177" s="150"/>
      <c r="O177" s="150"/>
      <c r="P177" s="178"/>
      <c r="Q177" s="178"/>
      <c r="R177" s="150"/>
      <c r="S177" s="150"/>
      <c r="T177" s="178"/>
      <c r="U177" s="178"/>
      <c r="V177" s="150"/>
      <c r="W177" s="150"/>
      <c r="X177" s="178"/>
      <c r="Y177" s="178"/>
      <c r="Z177" s="86"/>
      <c r="AA177" s="1"/>
      <c r="AB177" s="1"/>
      <c r="AC177" s="54"/>
      <c r="AD177" s="55"/>
      <c r="AE177" s="56"/>
      <c r="AF177" s="2"/>
      <c r="AG177" s="2"/>
      <c r="AH177" s="2"/>
      <c r="AI177" s="2"/>
      <c r="AJ177" s="2"/>
      <c r="AK177" s="2"/>
      <c r="AL177" s="2"/>
      <c r="AM177" s="2"/>
      <c r="AN177" s="2"/>
      <c r="AO177" s="2"/>
      <c r="AP177" s="2"/>
      <c r="AQ177" s="2"/>
    </row>
    <row r="178" spans="1:43" ht="2.25" customHeight="1">
      <c r="A178" s="2"/>
      <c r="B178" s="4"/>
      <c r="C178" s="180"/>
      <c r="D17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8" s="53"/>
      <c r="F178" s="93"/>
      <c r="G178" s="94"/>
      <c r="H178" s="178">
        <f>IF(TYPE(MATCH(20*(ROW()-7)/200,Input!$L$17:$L$36,1))&lt;&gt;16,IF(20*(ROW()-7)/200&gt;MAX(Input!$L$17:$L$36),"",INDEX(Input!$O$17:$O$36,MATCH(20*(ROW()-7)/200,Input!$L$17:$L$36,1)+1)),Input!$O$17)</f>
        <v>17.774999999999999</v>
      </c>
      <c r="I178" s="187">
        <f>IF(H178="","",INDEX(Input!$G$17:$G$36,MATCH($H178,Input!$O$17:$O$36,0)))</f>
        <v>6</v>
      </c>
      <c r="J178" s="178">
        <f>IF(INDEX(Input!$C$17:$C$36,MATCH($H178,Input!$O$17:$O$36,0))=0,"",INDEX(Input!$C$17:$C$36,MATCH($H178,Input!$O$17:$O$36,0)))</f>
        <v>19.03</v>
      </c>
      <c r="K178" s="178">
        <f>IF(INDEX(Input!$P$17:$P$36,MATCH($H178,Input!$O$17:$O$36,0))=0,"",INDEX(Input!$P$17:$P$36,MATCH($H178,Input!$O$17:$O$36,0)))</f>
        <v>335.51549999999997</v>
      </c>
      <c r="L178" s="178">
        <f>IF(INDEX(Input!$Q$17:$Q$36,MATCH($H178,Input!$O$17:$O$36,0))=0,"",INDEX(Input!$Q$17:$Q$36,MATCH($H178,Input!$O$17:$O$36,0)))</f>
        <v>161.14274999999998</v>
      </c>
      <c r="M178" s="187">
        <f>IF(INDEX(Input!$H$17:$H$36,MATCH($H178,Input!$O$17:$O$36,0))=0,"",INDEX(Input!$H$17:$H$36,MATCH($H178,Input!$O$17:$O$36,0)))</f>
        <v>95</v>
      </c>
      <c r="N178" s="150" t="str">
        <f>INDEX(HBF!$M$3:$M$22,MATCH($H178,Input!$O$17:$O$36,0))</f>
        <v>－</v>
      </c>
      <c r="O178" s="150" t="str">
        <f>INDEX(HBF!$N$3:$N$22,MATCH($H178,Input!$O$17:$O$36,0))</f>
        <v>－</v>
      </c>
      <c r="P178" s="178">
        <f>INDEX(HBF!$O$3:$O$22,MATCH($H178,Input!$O$17:$O$36,0))</f>
        <v>3</v>
      </c>
      <c r="Q178" s="178">
        <f>INDEX(HBF!$P$3:$P$22,MATCH($H178,Input!$O$17:$O$36,0))</f>
        <v>0</v>
      </c>
      <c r="R178" s="150" t="str">
        <f>INDEX(HBF!$F$3:$F$22,MATCH($H178,Input!$O$17:$O$36,0))</f>
        <v>－</v>
      </c>
      <c r="S178" s="150" t="str">
        <f>INDEX(HBF!$H$3:$H$22,MATCH($H178,Input!$O$17:$O$36,0))</f>
        <v>－</v>
      </c>
      <c r="T178" s="178">
        <f>INDEX(HBF!$I$3:$I$22,MATCH($H178,Input!$O$17:$O$36,0))</f>
        <v>3</v>
      </c>
      <c r="U178" s="178">
        <f>INDEX(HBF!$K$3:$K$22,MATCH($H178,Input!$O$17:$O$36,0))</f>
        <v>0</v>
      </c>
      <c r="V178" s="150" t="str">
        <f>INDEX(HBF!$R$3:$R$22,MATCH($H178,Input!$O$17:$O$36,0))</f>
        <v>－</v>
      </c>
      <c r="W178" s="150" t="str">
        <f>INDEX(HBF!$S$3:$S$22,MATCH($H178,Input!$O$17:$O$36,0))</f>
        <v>－</v>
      </c>
      <c r="X178" s="178">
        <f>INDEX(HBF!$T$3:$T$22,MATCH($H178,Input!$O$17:$O$36,0))</f>
        <v>3</v>
      </c>
      <c r="Y178" s="178">
        <f>INDEX(HBF!$U$3:$U$22,MATCH($H178,Input!$O$17:$O$36,0))</f>
        <v>0</v>
      </c>
      <c r="Z178" s="86"/>
      <c r="AA178" s="1"/>
      <c r="AB178" s="1"/>
      <c r="AC178" s="54"/>
      <c r="AD178" s="55"/>
      <c r="AE178" s="56"/>
      <c r="AF178" s="2"/>
      <c r="AG178" s="2"/>
      <c r="AH178" s="2"/>
      <c r="AI178" s="2"/>
      <c r="AJ178" s="2"/>
      <c r="AK178" s="2"/>
      <c r="AL178" s="2"/>
      <c r="AM178" s="2"/>
      <c r="AN178" s="2"/>
      <c r="AO178" s="2"/>
      <c r="AP178" s="2"/>
      <c r="AQ178" s="2"/>
    </row>
    <row r="179" spans="1:43" ht="2.25" customHeight="1">
      <c r="A179" s="2"/>
      <c r="B179" s="4"/>
      <c r="C179" s="180"/>
      <c r="D17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79" s="53"/>
      <c r="F179" s="93"/>
      <c r="G179" s="94"/>
      <c r="H179" s="178"/>
      <c r="I179" s="187"/>
      <c r="J179" s="178"/>
      <c r="K179" s="178"/>
      <c r="L179" s="178"/>
      <c r="M179" s="187"/>
      <c r="N179" s="150"/>
      <c r="O179" s="150"/>
      <c r="P179" s="178"/>
      <c r="Q179" s="178"/>
      <c r="R179" s="150"/>
      <c r="S179" s="150"/>
      <c r="T179" s="178"/>
      <c r="U179" s="178"/>
      <c r="V179" s="150"/>
      <c r="W179" s="150"/>
      <c r="X179" s="178"/>
      <c r="Y179" s="178"/>
      <c r="Z179" s="86"/>
      <c r="AA179" s="1"/>
      <c r="AB179" s="1"/>
      <c r="AC179" s="54"/>
      <c r="AD179" s="55"/>
      <c r="AE179" s="56"/>
      <c r="AF179" s="2"/>
      <c r="AG179" s="2"/>
      <c r="AH179" s="2"/>
      <c r="AI179" s="2"/>
      <c r="AJ179" s="2"/>
      <c r="AK179" s="2"/>
      <c r="AL179" s="2"/>
      <c r="AM179" s="2"/>
      <c r="AN179" s="2"/>
      <c r="AO179" s="2"/>
      <c r="AP179" s="2"/>
      <c r="AQ179" s="2"/>
    </row>
    <row r="180" spans="1:43" ht="2.25" customHeight="1">
      <c r="A180" s="2"/>
      <c r="B180" s="4"/>
      <c r="C180" s="179"/>
      <c r="D18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0" s="53"/>
      <c r="F180" s="93"/>
      <c r="G180" s="94"/>
      <c r="H180" s="178"/>
      <c r="I180" s="187"/>
      <c r="J180" s="178"/>
      <c r="K180" s="178"/>
      <c r="L180" s="178"/>
      <c r="M180" s="187"/>
      <c r="N180" s="150"/>
      <c r="O180" s="150"/>
      <c r="P180" s="178"/>
      <c r="Q180" s="178"/>
      <c r="R180" s="150"/>
      <c r="S180" s="150"/>
      <c r="T180" s="178"/>
      <c r="U180" s="178"/>
      <c r="V180" s="150"/>
      <c r="W180" s="150"/>
      <c r="X180" s="178"/>
      <c r="Y180" s="178"/>
      <c r="Z180" s="86"/>
      <c r="AA180" s="1"/>
      <c r="AB180" s="1"/>
      <c r="AC180" s="54"/>
      <c r="AD180" s="55"/>
      <c r="AE180" s="56"/>
      <c r="AF180" s="2"/>
      <c r="AG180" s="2"/>
      <c r="AH180" s="2"/>
      <c r="AI180" s="2"/>
      <c r="AJ180" s="2"/>
      <c r="AK180" s="2"/>
      <c r="AL180" s="2"/>
      <c r="AM180" s="2"/>
      <c r="AN180" s="2"/>
      <c r="AO180" s="2"/>
      <c r="AP180" s="2"/>
      <c r="AQ180" s="2"/>
    </row>
    <row r="181" spans="1:43" ht="2.25" customHeight="1">
      <c r="A181" s="2"/>
      <c r="B181" s="4"/>
      <c r="C181" s="180"/>
      <c r="D18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1" s="53"/>
      <c r="F181" s="93"/>
      <c r="G181" s="94"/>
      <c r="H181" s="178"/>
      <c r="I181" s="187"/>
      <c r="J181" s="178"/>
      <c r="K181" s="178"/>
      <c r="L181" s="178"/>
      <c r="M181" s="187"/>
      <c r="N181" s="150"/>
      <c r="O181" s="150"/>
      <c r="P181" s="178"/>
      <c r="Q181" s="178"/>
      <c r="R181" s="150"/>
      <c r="S181" s="150"/>
      <c r="T181" s="178"/>
      <c r="U181" s="178"/>
      <c r="V181" s="150"/>
      <c r="W181" s="150"/>
      <c r="X181" s="178"/>
      <c r="Y181" s="178"/>
      <c r="Z181" s="86"/>
      <c r="AA181" s="1"/>
      <c r="AB181" s="1"/>
      <c r="AC181" s="54"/>
      <c r="AD181" s="55"/>
      <c r="AE181" s="56"/>
      <c r="AF181" s="2"/>
      <c r="AG181" s="2"/>
      <c r="AH181" s="2"/>
      <c r="AI181" s="2"/>
      <c r="AJ181" s="2"/>
      <c r="AK181" s="2"/>
      <c r="AL181" s="2"/>
      <c r="AM181" s="2"/>
      <c r="AN181" s="2"/>
      <c r="AO181" s="2"/>
      <c r="AP181" s="2"/>
      <c r="AQ181" s="2"/>
    </row>
    <row r="182" spans="1:43" ht="2.25" customHeight="1">
      <c r="A182" s="2"/>
      <c r="B182" s="4"/>
      <c r="C182" s="180"/>
      <c r="D18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2" s="53"/>
      <c r="F182" s="93"/>
      <c r="G182" s="94"/>
      <c r="H182" s="178"/>
      <c r="I182" s="187"/>
      <c r="J182" s="178"/>
      <c r="K182" s="178"/>
      <c r="L182" s="178"/>
      <c r="M182" s="187"/>
      <c r="N182" s="150"/>
      <c r="O182" s="150"/>
      <c r="P182" s="178"/>
      <c r="Q182" s="178"/>
      <c r="R182" s="150"/>
      <c r="S182" s="150"/>
      <c r="T182" s="178"/>
      <c r="U182" s="178"/>
      <c r="V182" s="150"/>
      <c r="W182" s="150"/>
      <c r="X182" s="178"/>
      <c r="Y182" s="178"/>
      <c r="Z182" s="86"/>
      <c r="AA182" s="1"/>
      <c r="AB182" s="1"/>
      <c r="AC182" s="54"/>
      <c r="AD182" s="55"/>
      <c r="AE182" s="56"/>
      <c r="AF182" s="2"/>
      <c r="AG182" s="2"/>
      <c r="AH182" s="2"/>
      <c r="AI182" s="2"/>
      <c r="AJ182" s="2"/>
      <c r="AK182" s="2"/>
      <c r="AL182" s="2"/>
      <c r="AM182" s="2"/>
      <c r="AN182" s="2"/>
      <c r="AO182" s="2"/>
      <c r="AP182" s="2"/>
      <c r="AQ182" s="2"/>
    </row>
    <row r="183" spans="1:43" ht="2.25" customHeight="1">
      <c r="A183" s="2"/>
      <c r="B183" s="4"/>
      <c r="C183" s="180"/>
      <c r="D18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3" s="53"/>
      <c r="F183" s="93"/>
      <c r="G183" s="94"/>
      <c r="H183" s="178"/>
      <c r="I183" s="187"/>
      <c r="J183" s="178"/>
      <c r="K183" s="178"/>
      <c r="L183" s="178"/>
      <c r="M183" s="187"/>
      <c r="N183" s="150"/>
      <c r="O183" s="150"/>
      <c r="P183" s="178"/>
      <c r="Q183" s="178"/>
      <c r="R183" s="150"/>
      <c r="S183" s="150"/>
      <c r="T183" s="178"/>
      <c r="U183" s="178"/>
      <c r="V183" s="150"/>
      <c r="W183" s="150"/>
      <c r="X183" s="178"/>
      <c r="Y183" s="178"/>
      <c r="Z183" s="86"/>
      <c r="AA183" s="1"/>
      <c r="AB183" s="1"/>
      <c r="AC183" s="54"/>
      <c r="AD183" s="55"/>
      <c r="AE183" s="56"/>
      <c r="AF183" s="2"/>
      <c r="AG183" s="2"/>
      <c r="AH183" s="2"/>
      <c r="AI183" s="2"/>
      <c r="AJ183" s="2"/>
      <c r="AK183" s="2"/>
      <c r="AL183" s="2"/>
      <c r="AM183" s="2"/>
      <c r="AN183" s="2"/>
      <c r="AO183" s="2"/>
      <c r="AP183" s="2"/>
      <c r="AQ183" s="2"/>
    </row>
    <row r="184" spans="1:43" ht="2.25" customHeight="1">
      <c r="A184" s="2"/>
      <c r="B184" s="4"/>
      <c r="C184" s="179"/>
      <c r="D18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4" s="53"/>
      <c r="F184" s="93"/>
      <c r="G184" s="94"/>
      <c r="H184" s="178"/>
      <c r="I184" s="187"/>
      <c r="J184" s="178"/>
      <c r="K184" s="178"/>
      <c r="L184" s="178"/>
      <c r="M184" s="187"/>
      <c r="N184" s="150"/>
      <c r="O184" s="150"/>
      <c r="P184" s="178"/>
      <c r="Q184" s="178"/>
      <c r="R184" s="150"/>
      <c r="S184" s="150"/>
      <c r="T184" s="178"/>
      <c r="U184" s="178"/>
      <c r="V184" s="150"/>
      <c r="W184" s="150"/>
      <c r="X184" s="178"/>
      <c r="Y184" s="178"/>
      <c r="Z184" s="86"/>
      <c r="AA184" s="1"/>
      <c r="AB184" s="1"/>
      <c r="AC184" s="54"/>
      <c r="AD184" s="55"/>
      <c r="AE184" s="56"/>
      <c r="AF184" s="2"/>
      <c r="AG184" s="2"/>
      <c r="AH184" s="2"/>
      <c r="AI184" s="2"/>
      <c r="AJ184" s="2"/>
      <c r="AK184" s="2"/>
      <c r="AL184" s="2"/>
      <c r="AM184" s="2"/>
      <c r="AN184" s="2"/>
      <c r="AO184" s="2"/>
      <c r="AP184" s="2"/>
      <c r="AQ184" s="2"/>
    </row>
    <row r="185" spans="1:43" ht="2.25" customHeight="1">
      <c r="A185" s="2"/>
      <c r="B185" s="4"/>
      <c r="C185" s="180"/>
      <c r="D18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5" s="53"/>
      <c r="F185" s="93"/>
      <c r="G185" s="94"/>
      <c r="H185" s="178"/>
      <c r="I185" s="187"/>
      <c r="J185" s="178"/>
      <c r="K185" s="178"/>
      <c r="L185" s="178"/>
      <c r="M185" s="187"/>
      <c r="N185" s="150"/>
      <c r="O185" s="150"/>
      <c r="P185" s="178"/>
      <c r="Q185" s="178"/>
      <c r="R185" s="150"/>
      <c r="S185" s="150"/>
      <c r="T185" s="178"/>
      <c r="U185" s="178"/>
      <c r="V185" s="150"/>
      <c r="W185" s="150"/>
      <c r="X185" s="178"/>
      <c r="Y185" s="178"/>
      <c r="Z185" s="86"/>
      <c r="AA185" s="1"/>
      <c r="AB185" s="1"/>
      <c r="AC185" s="54"/>
      <c r="AD185" s="55"/>
      <c r="AE185" s="56"/>
      <c r="AF185" s="2"/>
      <c r="AG185" s="2"/>
      <c r="AH185" s="2"/>
      <c r="AI185" s="2"/>
      <c r="AJ185" s="2"/>
      <c r="AK185" s="2"/>
      <c r="AL185" s="2"/>
      <c r="AM185" s="2"/>
      <c r="AN185" s="2"/>
      <c r="AO185" s="2"/>
      <c r="AP185" s="2"/>
      <c r="AQ185" s="2"/>
    </row>
    <row r="186" spans="1:43" ht="2.25" customHeight="1">
      <c r="A186" s="2"/>
      <c r="B186" s="4"/>
      <c r="C186" s="180"/>
      <c r="D18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6" s="53"/>
      <c r="F186" s="93"/>
      <c r="G186" s="94"/>
      <c r="H186" s="178"/>
      <c r="I186" s="187"/>
      <c r="J186" s="178"/>
      <c r="K186" s="178"/>
      <c r="L186" s="178"/>
      <c r="M186" s="187"/>
      <c r="N186" s="150"/>
      <c r="O186" s="150"/>
      <c r="P186" s="178"/>
      <c r="Q186" s="178"/>
      <c r="R186" s="150"/>
      <c r="S186" s="150"/>
      <c r="T186" s="178"/>
      <c r="U186" s="178"/>
      <c r="V186" s="150"/>
      <c r="W186" s="150"/>
      <c r="X186" s="178"/>
      <c r="Y186" s="178"/>
      <c r="Z186" s="86"/>
      <c r="AA186" s="1"/>
      <c r="AB186" s="1"/>
      <c r="AC186" s="54"/>
      <c r="AD186" s="55"/>
      <c r="AE186" s="56"/>
      <c r="AF186" s="2"/>
      <c r="AG186" s="2"/>
      <c r="AH186" s="2"/>
      <c r="AI186" s="2"/>
      <c r="AJ186" s="2"/>
      <c r="AK186" s="2"/>
      <c r="AL186" s="2"/>
      <c r="AM186" s="2"/>
      <c r="AN186" s="2"/>
      <c r="AO186" s="2"/>
      <c r="AP186" s="2"/>
      <c r="AQ186" s="2"/>
    </row>
    <row r="187" spans="1:43" ht="2.25" customHeight="1">
      <c r="A187" s="2"/>
      <c r="B187" s="4"/>
      <c r="C187" s="180"/>
      <c r="D18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7" s="53"/>
      <c r="F187" s="93"/>
      <c r="G187" s="94"/>
      <c r="H187" s="178"/>
      <c r="I187" s="187"/>
      <c r="J187" s="178"/>
      <c r="K187" s="178"/>
      <c r="L187" s="178"/>
      <c r="M187" s="187"/>
      <c r="N187" s="150"/>
      <c r="O187" s="150"/>
      <c r="P187" s="178"/>
      <c r="Q187" s="178"/>
      <c r="R187" s="150"/>
      <c r="S187" s="150"/>
      <c r="T187" s="178"/>
      <c r="U187" s="178"/>
      <c r="V187" s="150"/>
      <c r="W187" s="150"/>
      <c r="X187" s="178"/>
      <c r="Y187" s="178"/>
      <c r="Z187" s="86"/>
      <c r="AA187" s="1"/>
      <c r="AB187" s="1"/>
      <c r="AC187" s="54"/>
      <c r="AD187" s="55"/>
      <c r="AE187" s="56"/>
      <c r="AF187" s="2"/>
      <c r="AG187" s="2"/>
      <c r="AH187" s="2"/>
      <c r="AI187" s="2"/>
      <c r="AJ187" s="2"/>
      <c r="AK187" s="2"/>
      <c r="AL187" s="2"/>
      <c r="AM187" s="2"/>
      <c r="AN187" s="2"/>
      <c r="AO187" s="2"/>
      <c r="AP187" s="2"/>
      <c r="AQ187" s="2"/>
    </row>
    <row r="188" spans="1:43" ht="2.25" customHeight="1">
      <c r="A188" s="2"/>
      <c r="B188" s="4"/>
      <c r="C188" s="179"/>
      <c r="D18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8" s="53"/>
      <c r="F188" s="93"/>
      <c r="G188" s="94"/>
      <c r="H188" s="178"/>
      <c r="I188" s="187"/>
      <c r="J188" s="178"/>
      <c r="K188" s="178"/>
      <c r="L188" s="178"/>
      <c r="M188" s="187"/>
      <c r="N188" s="150"/>
      <c r="O188" s="150"/>
      <c r="P188" s="178"/>
      <c r="Q188" s="178"/>
      <c r="R188" s="150"/>
      <c r="S188" s="150"/>
      <c r="T188" s="178"/>
      <c r="U188" s="178"/>
      <c r="V188" s="150"/>
      <c r="W188" s="150"/>
      <c r="X188" s="178"/>
      <c r="Y188" s="178"/>
      <c r="Z188" s="86"/>
      <c r="AA188" s="1"/>
      <c r="AB188" s="1"/>
      <c r="AC188" s="54"/>
      <c r="AD188" s="55"/>
      <c r="AE188" s="56"/>
      <c r="AF188" s="2"/>
      <c r="AG188" s="2"/>
      <c r="AH188" s="2"/>
      <c r="AI188" s="2"/>
      <c r="AJ188" s="2"/>
      <c r="AK188" s="2"/>
      <c r="AL188" s="2"/>
      <c r="AM188" s="2"/>
      <c r="AN188" s="2"/>
      <c r="AO188" s="2"/>
      <c r="AP188" s="2"/>
      <c r="AQ188" s="2"/>
    </row>
    <row r="189" spans="1:43" ht="2.25" customHeight="1">
      <c r="A189" s="2"/>
      <c r="B189" s="4"/>
      <c r="C189" s="180"/>
      <c r="D18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89" s="53"/>
      <c r="F189" s="93"/>
      <c r="G189" s="94"/>
      <c r="H189" s="178"/>
      <c r="I189" s="187"/>
      <c r="J189" s="178"/>
      <c r="K189" s="178"/>
      <c r="L189" s="178"/>
      <c r="M189" s="187"/>
      <c r="N189" s="150"/>
      <c r="O189" s="150"/>
      <c r="P189" s="178"/>
      <c r="Q189" s="178"/>
      <c r="R189" s="150"/>
      <c r="S189" s="150"/>
      <c r="T189" s="178"/>
      <c r="U189" s="178"/>
      <c r="V189" s="150"/>
      <c r="W189" s="150"/>
      <c r="X189" s="178"/>
      <c r="Y189" s="178"/>
      <c r="Z189" s="86"/>
      <c r="AA189" s="1"/>
      <c r="AB189" s="1"/>
      <c r="AC189" s="54"/>
      <c r="AD189" s="55"/>
      <c r="AE189" s="56"/>
      <c r="AF189" s="2"/>
      <c r="AG189" s="2"/>
      <c r="AH189" s="2"/>
      <c r="AI189" s="2"/>
      <c r="AJ189" s="2"/>
      <c r="AK189" s="2"/>
      <c r="AL189" s="2"/>
      <c r="AM189" s="2"/>
      <c r="AN189" s="2"/>
      <c r="AO189" s="2"/>
      <c r="AP189" s="2"/>
      <c r="AQ189" s="2"/>
    </row>
    <row r="190" spans="1:43" ht="2.25" customHeight="1">
      <c r="A190" s="2"/>
      <c r="B190" s="4"/>
      <c r="C190" s="180"/>
      <c r="D19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0" s="53"/>
      <c r="F190" s="93"/>
      <c r="G190" s="94"/>
      <c r="H190" s="178"/>
      <c r="I190" s="187"/>
      <c r="J190" s="178"/>
      <c r="K190" s="178"/>
      <c r="L190" s="178"/>
      <c r="M190" s="187"/>
      <c r="N190" s="150"/>
      <c r="O190" s="150"/>
      <c r="P190" s="178"/>
      <c r="Q190" s="178"/>
      <c r="R190" s="150"/>
      <c r="S190" s="150"/>
      <c r="T190" s="178"/>
      <c r="U190" s="178"/>
      <c r="V190" s="150"/>
      <c r="W190" s="150"/>
      <c r="X190" s="178"/>
      <c r="Y190" s="178"/>
      <c r="Z190" s="86"/>
      <c r="AA190" s="1"/>
      <c r="AB190" s="1"/>
      <c r="AC190" s="54"/>
      <c r="AD190" s="55"/>
      <c r="AE190" s="56"/>
      <c r="AF190" s="2"/>
      <c r="AG190" s="2"/>
      <c r="AH190" s="2"/>
      <c r="AI190" s="2"/>
      <c r="AJ190" s="2"/>
      <c r="AK190" s="2"/>
      <c r="AL190" s="2"/>
      <c r="AM190" s="2"/>
      <c r="AN190" s="2"/>
      <c r="AO190" s="2"/>
      <c r="AP190" s="2"/>
      <c r="AQ190" s="2"/>
    </row>
    <row r="191" spans="1:43" ht="2.25" customHeight="1">
      <c r="A191" s="2"/>
      <c r="B191" s="4"/>
      <c r="C191" s="180"/>
      <c r="D19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1" s="53"/>
      <c r="F191" s="93"/>
      <c r="G191" s="94"/>
      <c r="H191" s="178"/>
      <c r="I191" s="187"/>
      <c r="J191" s="178"/>
      <c r="K191" s="178"/>
      <c r="L191" s="178"/>
      <c r="M191" s="187"/>
      <c r="N191" s="150"/>
      <c r="O191" s="150"/>
      <c r="P191" s="178"/>
      <c r="Q191" s="178"/>
      <c r="R191" s="150"/>
      <c r="S191" s="150"/>
      <c r="T191" s="178"/>
      <c r="U191" s="178"/>
      <c r="V191" s="150"/>
      <c r="W191" s="150"/>
      <c r="X191" s="178"/>
      <c r="Y191" s="178"/>
      <c r="Z191" s="86"/>
      <c r="AA191" s="1"/>
      <c r="AB191" s="1"/>
      <c r="AC191" s="54"/>
      <c r="AD191" s="55"/>
      <c r="AE191" s="56"/>
      <c r="AF191" s="2"/>
      <c r="AG191" s="2"/>
      <c r="AH191" s="2"/>
      <c r="AI191" s="2"/>
      <c r="AJ191" s="2"/>
      <c r="AK191" s="2"/>
      <c r="AL191" s="2"/>
      <c r="AM191" s="2"/>
      <c r="AN191" s="2"/>
      <c r="AO191" s="2"/>
      <c r="AP191" s="2"/>
      <c r="AQ191" s="2"/>
    </row>
    <row r="192" spans="1:43" ht="2.25" customHeight="1">
      <c r="A192" s="2"/>
      <c r="B192" s="4"/>
      <c r="C192" s="179"/>
      <c r="D19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2" s="53"/>
      <c r="F192" s="93"/>
      <c r="G192" s="94"/>
      <c r="H192" s="178"/>
      <c r="I192" s="187"/>
      <c r="J192" s="178"/>
      <c r="K192" s="178"/>
      <c r="L192" s="178"/>
      <c r="M192" s="187"/>
      <c r="N192" s="150"/>
      <c r="O192" s="150"/>
      <c r="P192" s="178"/>
      <c r="Q192" s="178"/>
      <c r="R192" s="150"/>
      <c r="S192" s="150"/>
      <c r="T192" s="178"/>
      <c r="U192" s="178"/>
      <c r="V192" s="150"/>
      <c r="W192" s="150"/>
      <c r="X192" s="178"/>
      <c r="Y192" s="178"/>
      <c r="Z192" s="86"/>
      <c r="AA192" s="1"/>
      <c r="AB192" s="1"/>
      <c r="AC192" s="54"/>
      <c r="AD192" s="55"/>
      <c r="AE192" s="56"/>
      <c r="AF192" s="2"/>
      <c r="AG192" s="2"/>
      <c r="AH192" s="2"/>
      <c r="AI192" s="2"/>
      <c r="AJ192" s="2"/>
      <c r="AK192" s="2"/>
      <c r="AL192" s="2"/>
      <c r="AM192" s="2"/>
      <c r="AN192" s="2"/>
      <c r="AO192" s="2"/>
      <c r="AP192" s="2"/>
      <c r="AQ192" s="2"/>
    </row>
    <row r="193" spans="1:43" ht="2.25" customHeight="1">
      <c r="A193" s="2"/>
      <c r="B193" s="4"/>
      <c r="C193" s="180"/>
      <c r="D19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3" s="53"/>
      <c r="F193" s="93"/>
      <c r="G193" s="94"/>
      <c r="H193" s="178">
        <f>IF(TYPE(MATCH(20*(ROW()-7)/200,Input!$L$17:$L$36,1))&lt;&gt;16,IF(20*(ROW()-7)/200&gt;MAX(Input!$L$17:$L$36),"",INDEX(Input!$O$17:$O$36,MATCH(20*(ROW()-7)/200,Input!$L$17:$L$36,1)+1)),Input!$O$17)</f>
        <v>19.262499999999999</v>
      </c>
      <c r="I193" s="187">
        <f>IF(H193="","",INDEX(Input!$G$17:$G$36,MATCH($H193,Input!$O$17:$O$36,0)))</f>
        <v>7</v>
      </c>
      <c r="J193" s="178">
        <f>IF(INDEX(Input!$C$17:$C$36,MATCH($H193,Input!$O$17:$O$36,0))=0,"",INDEX(Input!$C$17:$C$36,MATCH($H193,Input!$O$17:$O$36,0)))</f>
        <v>18.34</v>
      </c>
      <c r="K193" s="178">
        <f>IF(INDEX(Input!$P$17:$P$36,MATCH($H193,Input!$O$17:$O$36,0))=0,"",INDEX(Input!$P$17:$P$36,MATCH($H193,Input!$O$17:$O$36,0)))</f>
        <v>363.31374999999997</v>
      </c>
      <c r="L193" s="178">
        <f>IF(INDEX(Input!$Q$17:$Q$36,MATCH($H193,Input!$O$17:$O$36,0))=0,"",INDEX(Input!$Q$17:$Q$36,MATCH($H193,Input!$O$17:$O$36,0)))</f>
        <v>174.34862499999997</v>
      </c>
      <c r="M193" s="187">
        <f>IF(INDEX(Input!$H$17:$H$36,MATCH($H193,Input!$O$17:$O$36,0))=0,"",INDEX(Input!$H$17:$H$36,MATCH($H193,Input!$O$17:$O$36,0)))</f>
        <v>94</v>
      </c>
      <c r="N193" s="150" t="str">
        <f>INDEX(HBF!$M$3:$M$22,MATCH($H193,Input!$O$17:$O$36,0))</f>
        <v>－</v>
      </c>
      <c r="O193" s="150" t="str">
        <f>INDEX(HBF!$N$3:$N$22,MATCH($H193,Input!$O$17:$O$36,0))</f>
        <v>－</v>
      </c>
      <c r="P193" s="178">
        <f>INDEX(HBF!$O$3:$O$22,MATCH($H193,Input!$O$17:$O$36,0))</f>
        <v>3</v>
      </c>
      <c r="Q193" s="178">
        <f>INDEX(HBF!$P$3:$P$22,MATCH($H193,Input!$O$17:$O$36,0))</f>
        <v>0</v>
      </c>
      <c r="R193" s="150" t="str">
        <f>INDEX(HBF!$F$3:$F$22,MATCH($H193,Input!$O$17:$O$36,0))</f>
        <v>－</v>
      </c>
      <c r="S193" s="150" t="str">
        <f>INDEX(HBF!$H$3:$H$22,MATCH($H193,Input!$O$17:$O$36,0))</f>
        <v>－</v>
      </c>
      <c r="T193" s="178">
        <f>INDEX(HBF!$I$3:$I$22,MATCH($H193,Input!$O$17:$O$36,0))</f>
        <v>3</v>
      </c>
      <c r="U193" s="178">
        <f>INDEX(HBF!$K$3:$K$22,MATCH($H193,Input!$O$17:$O$36,0))</f>
        <v>0</v>
      </c>
      <c r="V193" s="150" t="str">
        <f>INDEX(HBF!$R$3:$R$22,MATCH($H193,Input!$O$17:$O$36,0))</f>
        <v>－</v>
      </c>
      <c r="W193" s="150" t="str">
        <f>INDEX(HBF!$S$3:$S$22,MATCH($H193,Input!$O$17:$O$36,0))</f>
        <v>－</v>
      </c>
      <c r="X193" s="178">
        <f>INDEX(HBF!$T$3:$T$22,MATCH($H193,Input!$O$17:$O$36,0))</f>
        <v>3</v>
      </c>
      <c r="Y193" s="178">
        <f>INDEX(HBF!$U$3:$U$22,MATCH($H193,Input!$O$17:$O$36,0))</f>
        <v>0</v>
      </c>
      <c r="Z193" s="86"/>
      <c r="AA193" s="1"/>
      <c r="AB193" s="1"/>
      <c r="AC193" s="54"/>
      <c r="AD193" s="55"/>
      <c r="AE193" s="56"/>
      <c r="AF193" s="2"/>
      <c r="AG193" s="2"/>
      <c r="AH193" s="2"/>
      <c r="AI193" s="2"/>
      <c r="AJ193" s="2"/>
      <c r="AK193" s="2"/>
      <c r="AL193" s="2"/>
      <c r="AM193" s="2"/>
      <c r="AN193" s="2"/>
      <c r="AO193" s="2"/>
      <c r="AP193" s="2"/>
      <c r="AQ193" s="2"/>
    </row>
    <row r="194" spans="1:43" ht="2.25" customHeight="1">
      <c r="A194" s="2"/>
      <c r="B194" s="4"/>
      <c r="C194" s="180"/>
      <c r="D19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4" s="53"/>
      <c r="F194" s="93"/>
      <c r="G194" s="94"/>
      <c r="H194" s="178"/>
      <c r="I194" s="187"/>
      <c r="J194" s="178"/>
      <c r="K194" s="178"/>
      <c r="L194" s="178"/>
      <c r="M194" s="187"/>
      <c r="N194" s="150"/>
      <c r="O194" s="150"/>
      <c r="P194" s="178"/>
      <c r="Q194" s="178"/>
      <c r="R194" s="150"/>
      <c r="S194" s="150"/>
      <c r="T194" s="178"/>
      <c r="U194" s="178"/>
      <c r="V194" s="150"/>
      <c r="W194" s="150"/>
      <c r="X194" s="178"/>
      <c r="Y194" s="178"/>
      <c r="Z194" s="86"/>
      <c r="AA194" s="1"/>
      <c r="AB194" s="1"/>
      <c r="AC194" s="54"/>
      <c r="AD194" s="55"/>
      <c r="AE194" s="56"/>
      <c r="AF194" s="2"/>
      <c r="AG194" s="2"/>
      <c r="AH194" s="2"/>
      <c r="AI194" s="2"/>
      <c r="AJ194" s="2"/>
      <c r="AK194" s="2"/>
      <c r="AL194" s="2"/>
      <c r="AM194" s="2"/>
      <c r="AN194" s="2"/>
      <c r="AO194" s="2"/>
      <c r="AP194" s="2"/>
      <c r="AQ194" s="2"/>
    </row>
    <row r="195" spans="1:43" ht="2.25" customHeight="1">
      <c r="A195" s="2"/>
      <c r="B195" s="4"/>
      <c r="C195" s="180"/>
      <c r="D19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5" s="53"/>
      <c r="F195" s="93"/>
      <c r="G195" s="94"/>
      <c r="H195" s="178"/>
      <c r="I195" s="187"/>
      <c r="J195" s="178"/>
      <c r="K195" s="178"/>
      <c r="L195" s="178"/>
      <c r="M195" s="187"/>
      <c r="N195" s="150"/>
      <c r="O195" s="150"/>
      <c r="P195" s="178"/>
      <c r="Q195" s="178"/>
      <c r="R195" s="150"/>
      <c r="S195" s="150"/>
      <c r="T195" s="178"/>
      <c r="U195" s="178"/>
      <c r="V195" s="150"/>
      <c r="W195" s="150"/>
      <c r="X195" s="178"/>
      <c r="Y195" s="178"/>
      <c r="Z195" s="86"/>
      <c r="AA195" s="1"/>
      <c r="AB195" s="1"/>
      <c r="AC195" s="54"/>
      <c r="AD195" s="55"/>
      <c r="AE195" s="56"/>
      <c r="AF195" s="2"/>
      <c r="AG195" s="2"/>
      <c r="AH195" s="2"/>
      <c r="AI195" s="2"/>
      <c r="AJ195" s="2"/>
      <c r="AK195" s="2"/>
      <c r="AL195" s="2"/>
      <c r="AM195" s="2"/>
      <c r="AN195" s="2"/>
      <c r="AO195" s="2"/>
      <c r="AP195" s="2"/>
      <c r="AQ195" s="2"/>
    </row>
    <row r="196" spans="1:43" ht="2.25" customHeight="1">
      <c r="A196" s="2"/>
      <c r="B196" s="4"/>
      <c r="C196" s="179"/>
      <c r="D19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6" s="53"/>
      <c r="F196" s="93"/>
      <c r="G196" s="94"/>
      <c r="H196" s="178"/>
      <c r="I196" s="187"/>
      <c r="J196" s="178"/>
      <c r="K196" s="178"/>
      <c r="L196" s="178"/>
      <c r="M196" s="187"/>
      <c r="N196" s="150"/>
      <c r="O196" s="150"/>
      <c r="P196" s="178"/>
      <c r="Q196" s="178"/>
      <c r="R196" s="150"/>
      <c r="S196" s="150"/>
      <c r="T196" s="178"/>
      <c r="U196" s="178"/>
      <c r="V196" s="150"/>
      <c r="W196" s="150"/>
      <c r="X196" s="178"/>
      <c r="Y196" s="178"/>
      <c r="Z196" s="86"/>
      <c r="AA196" s="1"/>
      <c r="AB196" s="1"/>
      <c r="AC196" s="54"/>
      <c r="AD196" s="55"/>
      <c r="AE196" s="56"/>
      <c r="AF196" s="2"/>
      <c r="AG196" s="2"/>
      <c r="AH196" s="2"/>
      <c r="AI196" s="2"/>
      <c r="AJ196" s="2"/>
      <c r="AK196" s="2"/>
      <c r="AL196" s="2"/>
      <c r="AM196" s="2"/>
      <c r="AN196" s="2"/>
      <c r="AO196" s="2"/>
      <c r="AP196" s="2"/>
      <c r="AQ196" s="2"/>
    </row>
    <row r="197" spans="1:43" ht="2.25" customHeight="1">
      <c r="A197" s="2"/>
      <c r="B197" s="4"/>
      <c r="C197" s="180"/>
      <c r="D19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7" s="53"/>
      <c r="F197" s="93"/>
      <c r="G197" s="94"/>
      <c r="H197" s="178"/>
      <c r="I197" s="187"/>
      <c r="J197" s="178"/>
      <c r="K197" s="178"/>
      <c r="L197" s="178"/>
      <c r="M197" s="187"/>
      <c r="N197" s="150"/>
      <c r="O197" s="150"/>
      <c r="P197" s="178"/>
      <c r="Q197" s="178"/>
      <c r="R197" s="150"/>
      <c r="S197" s="150"/>
      <c r="T197" s="178"/>
      <c r="U197" s="178"/>
      <c r="V197" s="150"/>
      <c r="W197" s="150"/>
      <c r="X197" s="178"/>
      <c r="Y197" s="178"/>
      <c r="Z197" s="86"/>
      <c r="AA197" s="1"/>
      <c r="AB197" s="1"/>
      <c r="AC197" s="54"/>
      <c r="AD197" s="55"/>
      <c r="AE197" s="56"/>
      <c r="AF197" s="2"/>
      <c r="AG197" s="2"/>
      <c r="AH197" s="2"/>
      <c r="AI197" s="2"/>
      <c r="AJ197" s="2"/>
      <c r="AK197" s="2"/>
      <c r="AL197" s="2"/>
      <c r="AM197" s="2"/>
      <c r="AN197" s="2"/>
      <c r="AO197" s="2"/>
      <c r="AP197" s="2"/>
      <c r="AQ197" s="2"/>
    </row>
    <row r="198" spans="1:43" ht="2.25" customHeight="1">
      <c r="A198" s="2"/>
      <c r="B198" s="4"/>
      <c r="C198" s="180"/>
      <c r="D198"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8" s="53"/>
      <c r="F198" s="93"/>
      <c r="G198" s="94"/>
      <c r="H198" s="178"/>
      <c r="I198" s="187"/>
      <c r="J198" s="178"/>
      <c r="K198" s="178"/>
      <c r="L198" s="178"/>
      <c r="M198" s="187"/>
      <c r="N198" s="150"/>
      <c r="O198" s="150"/>
      <c r="P198" s="178"/>
      <c r="Q198" s="178"/>
      <c r="R198" s="150"/>
      <c r="S198" s="150"/>
      <c r="T198" s="178"/>
      <c r="U198" s="178"/>
      <c r="V198" s="150"/>
      <c r="W198" s="150"/>
      <c r="X198" s="178"/>
      <c r="Y198" s="178"/>
      <c r="Z198" s="86"/>
      <c r="AA198" s="1"/>
      <c r="AB198" s="1"/>
      <c r="AC198" s="54"/>
      <c r="AD198" s="55"/>
      <c r="AE198" s="56"/>
      <c r="AF198" s="2"/>
      <c r="AG198" s="2"/>
      <c r="AH198" s="2"/>
      <c r="AI198" s="2"/>
      <c r="AJ198" s="2"/>
      <c r="AK198" s="2"/>
      <c r="AL198" s="2"/>
      <c r="AM198" s="2"/>
      <c r="AN198" s="2"/>
      <c r="AO198" s="2"/>
      <c r="AP198" s="2"/>
      <c r="AQ198" s="2"/>
    </row>
    <row r="199" spans="1:43" ht="2.25" customHeight="1">
      <c r="A199" s="2"/>
      <c r="B199" s="4"/>
      <c r="C199" s="180"/>
      <c r="D199"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199" s="53"/>
      <c r="F199" s="93"/>
      <c r="G199" s="94"/>
      <c r="H199" s="178"/>
      <c r="I199" s="187"/>
      <c r="J199" s="178"/>
      <c r="K199" s="178"/>
      <c r="L199" s="178"/>
      <c r="M199" s="187"/>
      <c r="N199" s="150"/>
      <c r="O199" s="150"/>
      <c r="P199" s="178"/>
      <c r="Q199" s="178"/>
      <c r="R199" s="150"/>
      <c r="S199" s="150"/>
      <c r="T199" s="178"/>
      <c r="U199" s="178"/>
      <c r="V199" s="150"/>
      <c r="W199" s="150"/>
      <c r="X199" s="178"/>
      <c r="Y199" s="178"/>
      <c r="Z199" s="86"/>
      <c r="AA199" s="1"/>
      <c r="AB199" s="1"/>
      <c r="AC199" s="54"/>
      <c r="AD199" s="55"/>
      <c r="AE199" s="56"/>
      <c r="AF199" s="2"/>
      <c r="AG199" s="2"/>
      <c r="AH199" s="2"/>
      <c r="AI199" s="2"/>
      <c r="AJ199" s="2"/>
      <c r="AK199" s="2"/>
      <c r="AL199" s="2"/>
      <c r="AM199" s="2"/>
      <c r="AN199" s="2"/>
      <c r="AO199" s="2"/>
      <c r="AP199" s="2"/>
      <c r="AQ199" s="2"/>
    </row>
    <row r="200" spans="1:43" ht="2.25" customHeight="1">
      <c r="A200" s="2"/>
      <c r="B200" s="4"/>
      <c r="C200" s="179"/>
      <c r="D200"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0" s="53"/>
      <c r="F200" s="93"/>
      <c r="G200" s="94"/>
      <c r="H200" s="178"/>
      <c r="I200" s="187"/>
      <c r="J200" s="178"/>
      <c r="K200" s="178"/>
      <c r="L200" s="178"/>
      <c r="M200" s="187"/>
      <c r="N200" s="150"/>
      <c r="O200" s="150"/>
      <c r="P200" s="178"/>
      <c r="Q200" s="178"/>
      <c r="R200" s="150"/>
      <c r="S200" s="150"/>
      <c r="T200" s="178"/>
      <c r="U200" s="178"/>
      <c r="V200" s="150"/>
      <c r="W200" s="150"/>
      <c r="X200" s="178"/>
      <c r="Y200" s="178"/>
      <c r="Z200" s="86"/>
      <c r="AA200" s="1"/>
      <c r="AB200" s="1"/>
      <c r="AC200" s="54"/>
      <c r="AD200" s="55"/>
      <c r="AE200" s="56"/>
      <c r="AF200" s="2"/>
      <c r="AG200" s="2"/>
      <c r="AH200" s="2"/>
      <c r="AI200" s="2"/>
      <c r="AJ200" s="2"/>
      <c r="AK200" s="2"/>
      <c r="AL200" s="2"/>
      <c r="AM200" s="2"/>
      <c r="AN200" s="2"/>
      <c r="AO200" s="2"/>
      <c r="AP200" s="2"/>
      <c r="AQ200" s="2"/>
    </row>
    <row r="201" spans="1:43" ht="2.25" customHeight="1">
      <c r="A201" s="2"/>
      <c r="B201" s="4"/>
      <c r="C201" s="180"/>
      <c r="D201"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1" s="53"/>
      <c r="F201" s="93"/>
      <c r="G201" s="94"/>
      <c r="H201" s="178"/>
      <c r="I201" s="187"/>
      <c r="J201" s="178"/>
      <c r="K201" s="178"/>
      <c r="L201" s="178"/>
      <c r="M201" s="187"/>
      <c r="N201" s="150"/>
      <c r="O201" s="150"/>
      <c r="P201" s="178"/>
      <c r="Q201" s="178"/>
      <c r="R201" s="150"/>
      <c r="S201" s="150"/>
      <c r="T201" s="178"/>
      <c r="U201" s="178"/>
      <c r="V201" s="150"/>
      <c r="W201" s="150"/>
      <c r="X201" s="178"/>
      <c r="Y201" s="178"/>
      <c r="Z201" s="86"/>
      <c r="AA201" s="1"/>
      <c r="AB201" s="1"/>
      <c r="AC201" s="54"/>
      <c r="AD201" s="55"/>
      <c r="AE201" s="56"/>
      <c r="AF201" s="2"/>
      <c r="AG201" s="2"/>
      <c r="AH201" s="2"/>
      <c r="AI201" s="2"/>
      <c r="AJ201" s="2"/>
      <c r="AK201" s="2"/>
      <c r="AL201" s="2"/>
      <c r="AM201" s="2"/>
      <c r="AN201" s="2"/>
      <c r="AO201" s="2"/>
      <c r="AP201" s="2"/>
      <c r="AQ201" s="2"/>
    </row>
    <row r="202" spans="1:43" ht="2.25" customHeight="1">
      <c r="A202" s="2"/>
      <c r="B202" s="4"/>
      <c r="C202" s="180"/>
      <c r="D202"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2" s="53"/>
      <c r="F202" s="93"/>
      <c r="G202" s="94"/>
      <c r="H202" s="178"/>
      <c r="I202" s="187"/>
      <c r="J202" s="178"/>
      <c r="K202" s="178"/>
      <c r="L202" s="178"/>
      <c r="M202" s="187"/>
      <c r="N202" s="150"/>
      <c r="O202" s="150"/>
      <c r="P202" s="178"/>
      <c r="Q202" s="178"/>
      <c r="R202" s="150"/>
      <c r="S202" s="150"/>
      <c r="T202" s="178"/>
      <c r="U202" s="178"/>
      <c r="V202" s="150"/>
      <c r="W202" s="150"/>
      <c r="X202" s="178"/>
      <c r="Y202" s="178"/>
      <c r="Z202" s="86"/>
      <c r="AA202" s="1"/>
      <c r="AB202" s="1"/>
      <c r="AC202" s="54"/>
      <c r="AD202" s="55"/>
      <c r="AE202" s="56"/>
      <c r="AF202" s="2"/>
      <c r="AG202" s="2"/>
      <c r="AH202" s="2"/>
      <c r="AI202" s="2"/>
      <c r="AJ202" s="2"/>
      <c r="AK202" s="2"/>
      <c r="AL202" s="2"/>
      <c r="AM202" s="2"/>
      <c r="AN202" s="2"/>
      <c r="AO202" s="2"/>
      <c r="AP202" s="2"/>
      <c r="AQ202" s="2"/>
    </row>
    <row r="203" spans="1:43" ht="2.25" customHeight="1">
      <c r="A203" s="2"/>
      <c r="B203" s="4"/>
      <c r="C203" s="180"/>
      <c r="D203"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3" s="53"/>
      <c r="F203" s="93"/>
      <c r="G203" s="94"/>
      <c r="H203" s="178"/>
      <c r="I203" s="187"/>
      <c r="J203" s="178"/>
      <c r="K203" s="178"/>
      <c r="L203" s="178"/>
      <c r="M203" s="187"/>
      <c r="N203" s="150"/>
      <c r="O203" s="150"/>
      <c r="P203" s="178"/>
      <c r="Q203" s="178"/>
      <c r="R203" s="150"/>
      <c r="S203" s="150"/>
      <c r="T203" s="178"/>
      <c r="U203" s="178"/>
      <c r="V203" s="150"/>
      <c r="W203" s="150"/>
      <c r="X203" s="178"/>
      <c r="Y203" s="178"/>
      <c r="Z203" s="86"/>
      <c r="AA203" s="1"/>
      <c r="AB203" s="1"/>
      <c r="AC203" s="54"/>
      <c r="AD203" s="55"/>
      <c r="AE203" s="56"/>
      <c r="AF203" s="2"/>
      <c r="AG203" s="2"/>
      <c r="AH203" s="2"/>
      <c r="AI203" s="2"/>
      <c r="AJ203" s="2"/>
      <c r="AK203" s="2"/>
      <c r="AL203" s="2"/>
      <c r="AM203" s="2"/>
      <c r="AN203" s="2"/>
      <c r="AO203" s="2"/>
      <c r="AP203" s="2"/>
      <c r="AQ203" s="2"/>
    </row>
    <row r="204" spans="1:43" ht="2.25" customHeight="1">
      <c r="A204" s="2"/>
      <c r="B204" s="4"/>
      <c r="C204" s="179"/>
      <c r="D204"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4" s="53"/>
      <c r="F204" s="93"/>
      <c r="G204" s="94"/>
      <c r="H204" s="178"/>
      <c r="I204" s="187"/>
      <c r="J204" s="178"/>
      <c r="K204" s="178"/>
      <c r="L204" s="178"/>
      <c r="M204" s="187"/>
      <c r="N204" s="150"/>
      <c r="O204" s="150"/>
      <c r="P204" s="178"/>
      <c r="Q204" s="178"/>
      <c r="R204" s="150"/>
      <c r="S204" s="150"/>
      <c r="T204" s="178"/>
      <c r="U204" s="178"/>
      <c r="V204" s="150"/>
      <c r="W204" s="150"/>
      <c r="X204" s="178"/>
      <c r="Y204" s="178"/>
      <c r="Z204" s="86"/>
      <c r="AA204" s="1"/>
      <c r="AB204" s="1"/>
      <c r="AC204" s="54"/>
      <c r="AD204" s="55"/>
      <c r="AE204" s="56"/>
      <c r="AF204" s="2"/>
      <c r="AG204" s="2"/>
      <c r="AH204" s="2"/>
      <c r="AI204" s="2"/>
      <c r="AJ204" s="2"/>
      <c r="AK204" s="2"/>
      <c r="AL204" s="2"/>
      <c r="AM204" s="2"/>
      <c r="AN204" s="2"/>
      <c r="AO204" s="2"/>
      <c r="AP204" s="2"/>
      <c r="AQ204" s="2"/>
    </row>
    <row r="205" spans="1:43" ht="2.25" customHeight="1">
      <c r="A205" s="2"/>
      <c r="B205" s="4"/>
      <c r="C205" s="180"/>
      <c r="D205"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5" s="53"/>
      <c r="F205" s="93"/>
      <c r="G205" s="94"/>
      <c r="H205" s="178"/>
      <c r="I205" s="187"/>
      <c r="J205" s="178"/>
      <c r="K205" s="178"/>
      <c r="L205" s="178"/>
      <c r="M205" s="187"/>
      <c r="N205" s="150"/>
      <c r="O205" s="150"/>
      <c r="P205" s="178"/>
      <c r="Q205" s="178"/>
      <c r="R205" s="150"/>
      <c r="S205" s="150"/>
      <c r="T205" s="178"/>
      <c r="U205" s="178"/>
      <c r="V205" s="150"/>
      <c r="W205" s="150"/>
      <c r="X205" s="178"/>
      <c r="Y205" s="178"/>
      <c r="Z205" s="86"/>
      <c r="AA205" s="1"/>
      <c r="AB205" s="1"/>
      <c r="AC205" s="54"/>
      <c r="AD205" s="55"/>
      <c r="AE205" s="56"/>
      <c r="AF205" s="2"/>
      <c r="AG205" s="2"/>
      <c r="AH205" s="2"/>
      <c r="AI205" s="2"/>
      <c r="AJ205" s="2"/>
      <c r="AK205" s="2"/>
      <c r="AL205" s="2"/>
      <c r="AM205" s="2"/>
      <c r="AN205" s="2"/>
      <c r="AO205" s="2"/>
      <c r="AP205" s="2"/>
      <c r="AQ205" s="2"/>
    </row>
    <row r="206" spans="1:43" ht="2.25" customHeight="1">
      <c r="A206" s="2"/>
      <c r="B206" s="4"/>
      <c r="C206" s="180"/>
      <c r="D206"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CL</v>
      </c>
      <c r="E206" s="53"/>
      <c r="F206" s="93"/>
      <c r="G206" s="94"/>
      <c r="H206" s="178"/>
      <c r="I206" s="187"/>
      <c r="J206" s="178"/>
      <c r="K206" s="178"/>
      <c r="L206" s="178"/>
      <c r="M206" s="187"/>
      <c r="N206" s="150"/>
      <c r="O206" s="150"/>
      <c r="P206" s="178"/>
      <c r="Q206" s="178"/>
      <c r="R206" s="150"/>
      <c r="S206" s="150"/>
      <c r="T206" s="178"/>
      <c r="U206" s="178"/>
      <c r="V206" s="150"/>
      <c r="W206" s="150"/>
      <c r="X206" s="178"/>
      <c r="Y206" s="178"/>
      <c r="Z206" s="86"/>
      <c r="AA206" s="1"/>
      <c r="AB206" s="1"/>
      <c r="AC206" s="54"/>
      <c r="AD206" s="55"/>
      <c r="AE206" s="56"/>
      <c r="AF206" s="2"/>
      <c r="AG206" s="2"/>
      <c r="AH206" s="2"/>
      <c r="AI206" s="2"/>
      <c r="AJ206" s="2"/>
      <c r="AK206" s="2"/>
      <c r="AL206" s="2"/>
      <c r="AM206" s="2"/>
      <c r="AN206" s="2"/>
      <c r="AO206" s="2"/>
      <c r="AP206" s="2"/>
      <c r="AQ206" s="2"/>
    </row>
    <row r="207" spans="1:43" ht="2.25" customHeight="1">
      <c r="A207" s="2"/>
      <c r="B207" s="4"/>
      <c r="C207" s="180"/>
      <c r="D207" s="47" t="str">
        <f>IF(IF(TYPE(INDEX(Input!$B$17:$B$36,MATCH(((ROW()-7)/10),Input!$L$17:$L$36,1)+1))&lt;&gt;16,IF(INDEX(Input!$B$17:$B$36,MATCH(((ROW()-7)/10),Input!$L$17:$L$36,1)+1)=2,"",INDEX(Input!$B$17:$B$36,MATCH(((ROW()-7)/10),Input!$L$17:$L$36,1)+1)),Input!$B$17)&lt;&gt;0,IF(TYPE(INDEX(Input!$B$17:$B$36,MATCH(((ROW()-7)/10),Input!$L$17:$L$36,1)+1))&lt;&gt;16,IF(INDEX(Input!$B$17:$B$36,MATCH(((ROW()-7)/10),Input!$L$17:$L$36,1)+1)=2,"",INDEX(Input!$B$17:$B$36,MATCH(((ROW()-7)/10),Input!$L$17:$L$36,1)+1)),Input!$B$17),"")</f>
        <v/>
      </c>
      <c r="E207" s="53"/>
      <c r="F207" s="93"/>
      <c r="G207" s="94"/>
      <c r="H207" s="178"/>
      <c r="I207" s="187"/>
      <c r="J207" s="178"/>
      <c r="K207" s="178"/>
      <c r="L207" s="178"/>
      <c r="M207" s="187"/>
      <c r="N207" s="150"/>
      <c r="O207" s="150"/>
      <c r="P207" s="178"/>
      <c r="Q207" s="178"/>
      <c r="R207" s="150"/>
      <c r="S207" s="150"/>
      <c r="T207" s="178"/>
      <c r="U207" s="178"/>
      <c r="V207" s="150"/>
      <c r="W207" s="150"/>
      <c r="X207" s="178"/>
      <c r="Y207" s="178"/>
      <c r="Z207" s="86"/>
      <c r="AA207" s="1"/>
      <c r="AB207" s="1"/>
      <c r="AC207" s="54"/>
      <c r="AD207" s="55"/>
      <c r="AE207" s="56"/>
      <c r="AF207" s="2"/>
      <c r="AG207" s="2"/>
      <c r="AH207" s="2"/>
      <c r="AI207" s="2"/>
      <c r="AJ207" s="2"/>
      <c r="AK207" s="2"/>
      <c r="AL207" s="2"/>
      <c r="AM207" s="2"/>
      <c r="AN207" s="2"/>
      <c r="AO207" s="2"/>
      <c r="AP207" s="2"/>
      <c r="AQ207" s="2"/>
    </row>
    <row r="208" spans="1:43" ht="58.5" customHeight="1" thickBot="1">
      <c r="A208" s="2"/>
      <c r="B208" s="188"/>
      <c r="C208" s="189"/>
      <c r="D208" s="189"/>
      <c r="E208" s="189"/>
      <c r="F208" s="189" t="s">
        <v>95</v>
      </c>
      <c r="G208" s="189"/>
      <c r="H208" s="67"/>
      <c r="I208" s="67"/>
      <c r="J208" s="67"/>
      <c r="K208" s="67"/>
      <c r="L208" s="67"/>
      <c r="M208" s="67"/>
      <c r="N208" s="68"/>
      <c r="O208" s="69"/>
      <c r="P208" s="69"/>
      <c r="Q208" s="69">
        <f>SUM(Q8:Q207)</f>
        <v>0</v>
      </c>
      <c r="R208" s="69"/>
      <c r="S208" s="69"/>
      <c r="T208" s="69"/>
      <c r="U208" s="69">
        <f>SUM(U8:U207)</f>
        <v>9.6494134454598566</v>
      </c>
      <c r="V208" s="70"/>
      <c r="W208" s="69"/>
      <c r="X208" s="69"/>
      <c r="Y208" s="69">
        <f>SUM(Y8:Y207)</f>
        <v>18.413096424510069</v>
      </c>
      <c r="Z208" s="79"/>
      <c r="AA208" s="80"/>
      <c r="AB208" s="80"/>
      <c r="AC208" s="80"/>
      <c r="AD208" s="81"/>
      <c r="AE208" s="82"/>
      <c r="AF208" s="2"/>
      <c r="AG208" s="2"/>
      <c r="AH208" s="2"/>
      <c r="AI208" s="2"/>
      <c r="AJ208" s="2"/>
      <c r="AK208" s="2"/>
      <c r="AL208" s="2"/>
      <c r="AM208" s="2"/>
      <c r="AN208" s="2"/>
      <c r="AO208" s="2"/>
      <c r="AP208" s="2"/>
      <c r="AQ208" s="2"/>
    </row>
    <row r="209" spans="1:105" ht="15" customHeight="1">
      <c r="A209" s="2"/>
      <c r="B209" s="2"/>
      <c r="C209" s="2"/>
      <c r="D209" s="2"/>
      <c r="E209" s="2"/>
      <c r="F209" s="2"/>
      <c r="G209" s="2"/>
      <c r="H209" s="2"/>
      <c r="I209" s="2"/>
      <c r="J209" s="2"/>
      <c r="K209" s="2"/>
      <c r="L209" s="1"/>
      <c r="M209" s="2"/>
      <c r="N209" s="2"/>
      <c r="O209" s="2"/>
      <c r="P209" s="59"/>
      <c r="Q209" s="2"/>
      <c r="R209" s="2"/>
      <c r="S209" s="186"/>
      <c r="T209" s="186"/>
      <c r="U209" s="186"/>
      <c r="V209" s="186"/>
      <c r="W209" s="186"/>
      <c r="X209" s="186"/>
      <c r="Y209" s="186"/>
      <c r="Z209" s="184"/>
      <c r="AA209" s="184"/>
      <c r="AB209" s="2"/>
      <c r="AC209" s="2"/>
      <c r="AD209" s="2"/>
      <c r="AE209" s="2"/>
      <c r="AF209" s="2"/>
      <c r="AG209" s="2"/>
      <c r="AH209" s="2"/>
      <c r="AI209" s="2"/>
      <c r="AJ209" s="2"/>
      <c r="AK209" s="2"/>
      <c r="AL209" s="2"/>
      <c r="AM209" s="2"/>
      <c r="AN209" s="2"/>
      <c r="AO209" s="2"/>
      <c r="AP209" s="2"/>
      <c r="AQ209" s="2"/>
    </row>
    <row r="210" spans="1:105" ht="40.5" customHeight="1">
      <c r="A210" s="2"/>
      <c r="B210" s="2"/>
      <c r="C210" s="2"/>
      <c r="D210" s="2"/>
      <c r="E210" s="2"/>
      <c r="F210" s="2"/>
      <c r="G210" s="2"/>
      <c r="H210" s="2"/>
      <c r="I210" s="190"/>
      <c r="J210" s="190"/>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row>
    <row r="211" spans="1:105">
      <c r="A211" s="2"/>
      <c r="B211" s="2"/>
      <c r="C211" s="2"/>
      <c r="D211" s="2"/>
      <c r="E211" s="2"/>
      <c r="F211" s="2"/>
      <c r="G211" s="2"/>
      <c r="H211" s="2"/>
      <c r="I211" s="2"/>
      <c r="J211" s="2"/>
      <c r="K211" s="2"/>
      <c r="L211" s="2"/>
      <c r="M211" s="2"/>
      <c r="Z211" s="2"/>
      <c r="AA211" s="2"/>
      <c r="AC211" s="2"/>
      <c r="AD211" s="2"/>
      <c r="AE211" s="2"/>
      <c r="AF211" s="2"/>
      <c r="AG211" s="2"/>
      <c r="AH211" s="2"/>
      <c r="AI211" s="2"/>
      <c r="AJ211" s="2"/>
      <c r="AK211" s="2"/>
      <c r="AL211" s="2"/>
      <c r="AM211" s="2"/>
      <c r="AN211" s="2"/>
      <c r="AO211" s="2"/>
      <c r="AP211" s="2"/>
      <c r="AQ211" s="2"/>
    </row>
    <row r="212" spans="1:105">
      <c r="A212" s="2"/>
      <c r="B212" s="2"/>
      <c r="C212" s="2"/>
      <c r="D212" s="2"/>
      <c r="E212" s="2"/>
      <c r="F212" s="2"/>
      <c r="G212" s="2"/>
      <c r="H212" s="2"/>
      <c r="I212" s="2"/>
      <c r="J212" s="2"/>
      <c r="K212" s="2"/>
      <c r="L212" s="2"/>
      <c r="M212" s="2"/>
      <c r="N212" s="2"/>
      <c r="O212" s="2"/>
      <c r="P212" s="2"/>
      <c r="Q212" s="2"/>
      <c r="R212" s="2"/>
      <c r="U212" s="2"/>
      <c r="V212" s="2"/>
      <c r="W212" s="2"/>
      <c r="X212" s="2"/>
      <c r="Y212" s="2"/>
      <c r="Z212" s="2"/>
      <c r="AA212" s="2"/>
      <c r="AB212" s="2"/>
      <c r="AC212" s="2"/>
      <c r="AD212" s="2"/>
      <c r="AE212" s="2"/>
      <c r="AF212" s="2"/>
      <c r="AG212" s="2"/>
      <c r="AH212" s="2"/>
      <c r="AI212" s="2"/>
      <c r="AJ212" s="2"/>
      <c r="AK212" s="2"/>
      <c r="AL212" s="2"/>
      <c r="AM212" s="2"/>
      <c r="AN212" s="2"/>
      <c r="AO212" s="2"/>
      <c r="AP212" s="2"/>
      <c r="AQ212" s="2"/>
    </row>
    <row r="213" spans="1:105">
      <c r="A213" s="2"/>
      <c r="B213" s="2"/>
      <c r="C213" s="2"/>
      <c r="D213" s="2"/>
      <c r="E213" s="2"/>
      <c r="F213" s="2"/>
      <c r="G213" s="2"/>
      <c r="H213" s="2"/>
      <c r="I213" s="2"/>
      <c r="J213" s="2"/>
      <c r="K213" s="2"/>
      <c r="L213" s="2"/>
      <c r="M213" s="2"/>
      <c r="N213" s="2"/>
      <c r="O213" s="2"/>
      <c r="P213" s="2"/>
      <c r="Q213" s="2"/>
      <c r="R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row>
    <row r="214" spans="1:10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row>
    <row r="215" spans="1:10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row>
    <row r="216" spans="1:10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row>
    <row r="217" spans="1:10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row>
    <row r="218" spans="1:10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row>
    <row r="219" spans="1:10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row>
    <row r="220" spans="1:10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row>
    <row r="221" spans="1:10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row>
    <row r="222" spans="1:10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row>
    <row r="223" spans="1:10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row>
    <row r="224" spans="1:10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row>
    <row r="225" spans="1:10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row>
    <row r="226" spans="1:10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row>
    <row r="227" spans="1:10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row>
    <row r="228" spans="1:10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row>
    <row r="229" spans="1:10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row>
    <row r="230" spans="1:10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row>
    <row r="231" spans="1:10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row>
    <row r="232" spans="1:10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row>
    <row r="233" spans="1:10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row>
    <row r="234" spans="1:10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row>
    <row r="235" spans="1:10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row>
    <row r="236" spans="1:10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row>
    <row r="237" spans="1:10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row>
    <row r="238" spans="1:10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row>
    <row r="239" spans="1:10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row>
    <row r="240" spans="1:10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row>
    <row r="241" spans="1:10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row>
    <row r="242" spans="1:10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row>
    <row r="243" spans="1:10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row>
    <row r="244" spans="1:10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row>
    <row r="245" spans="1:10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row>
    <row r="246" spans="1:10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row>
    <row r="247" spans="1:10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row>
    <row r="248" spans="1:10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row>
    <row r="249" spans="1:10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row>
    <row r="250" spans="1:10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row>
    <row r="251" spans="1:10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row>
    <row r="252" spans="1:10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row>
    <row r="253" spans="1:10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row>
    <row r="254" spans="1:10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row>
    <row r="255" spans="1:10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row>
    <row r="256" spans="1:10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row>
    <row r="257" spans="1:10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row>
    <row r="258" spans="1:10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row>
    <row r="259" spans="1:10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row>
    <row r="260" spans="1:10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row>
    <row r="261" spans="1:10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row>
    <row r="262" spans="1:10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row>
    <row r="263" spans="1:10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row>
    <row r="264" spans="1:10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row>
    <row r="265" spans="1:10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row>
    <row r="266" spans="1:10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row>
    <row r="267" spans="1:10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row>
    <row r="268" spans="1:10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row>
    <row r="269" spans="1:10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row>
    <row r="270" spans="1:10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row>
    <row r="271" spans="1:10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row>
    <row r="272" spans="1:10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row>
    <row r="273" spans="1:10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row>
    <row r="274" spans="1:10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row>
    <row r="275" spans="1:10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row>
    <row r="276" spans="1:10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row>
    <row r="277" spans="1:10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row>
    <row r="278" spans="1:10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row>
    <row r="279" spans="1:10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row>
    <row r="280" spans="1:10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row>
    <row r="281" spans="1:10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row>
    <row r="282" spans="1:10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row>
    <row r="283" spans="1:10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row>
    <row r="284" spans="1:10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row>
    <row r="285" spans="1:10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row>
    <row r="286" spans="1:10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row>
    <row r="287" spans="1:10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row>
    <row r="288" spans="1:10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row>
    <row r="289" spans="1:10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row>
    <row r="290" spans="1:10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row>
    <row r="291" spans="1:10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row>
    <row r="292" spans="1:10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row>
    <row r="293" spans="1:10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row>
    <row r="294" spans="1:10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row>
    <row r="295" spans="1:10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row>
    <row r="296" spans="1:10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row>
    <row r="297" spans="1:10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row>
    <row r="298" spans="1:10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row>
    <row r="299" spans="1:10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row>
    <row r="300" spans="1:10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row>
    <row r="301" spans="1:10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row>
    <row r="302" spans="1:10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row>
    <row r="303" spans="1:10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row>
    <row r="304" spans="1:10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row>
    <row r="305" spans="1:10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row>
    <row r="306" spans="1:10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row>
    <row r="307" spans="1:10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row>
    <row r="308" spans="1:10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row>
    <row r="309" spans="1:10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row>
    <row r="310" spans="1:10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row>
    <row r="311" spans="1:10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row>
    <row r="312" spans="1:10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row>
    <row r="313" spans="1:10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row>
    <row r="314" spans="1:10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row>
    <row r="315" spans="1:10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row>
    <row r="316" spans="1:10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row>
    <row r="317" spans="1:10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row>
    <row r="318" spans="1:10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row>
    <row r="319" spans="1:10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row>
    <row r="320" spans="1:10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row>
    <row r="321" spans="1:10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row>
    <row r="322" spans="1:10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row>
    <row r="323" spans="1:10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row>
    <row r="324" spans="1:10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row>
    <row r="325" spans="1:10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row>
    <row r="326" spans="1:10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row>
    <row r="327" spans="1:10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row>
    <row r="328" spans="1:10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row>
    <row r="329" spans="1:10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row>
    <row r="330" spans="1:10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row>
    <row r="331" spans="1:10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row>
    <row r="332" spans="1:10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row>
    <row r="333" spans="1:10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row>
    <row r="334" spans="1:10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row>
    <row r="335" spans="1:10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row>
    <row r="336" spans="1:10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row>
    <row r="337" spans="1:10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row>
    <row r="338" spans="1:10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row>
    <row r="339" spans="1:10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row>
    <row r="340" spans="1:10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row>
    <row r="341" spans="1:10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row>
    <row r="342" spans="1:10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row>
    <row r="343" spans="1:10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row>
    <row r="344" spans="1:10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row>
    <row r="345" spans="1:10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row>
    <row r="346" spans="1:10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row>
    <row r="347" spans="1:10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row>
    <row r="348" spans="1:10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row>
    <row r="349" spans="1:10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row>
    <row r="350" spans="1:10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row>
    <row r="351" spans="1:10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row>
    <row r="352" spans="1:10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row>
    <row r="353" spans="1:10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row>
    <row r="354" spans="1:10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row>
    <row r="355" spans="1:10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row>
    <row r="356" spans="1:10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row>
    <row r="357" spans="1:10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row>
    <row r="358" spans="1:10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row>
    <row r="359" spans="1:10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row>
    <row r="360" spans="1:10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row>
    <row r="361" spans="1:10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row>
    <row r="362" spans="1:10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row>
    <row r="363" spans="1:10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row>
    <row r="364" spans="1:10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row>
    <row r="365" spans="1:10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row>
    <row r="366" spans="1:10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row>
    <row r="367" spans="1:10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row>
    <row r="368" spans="1:10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row>
    <row r="369" spans="1:10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row>
    <row r="370" spans="1:10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row>
    <row r="371" spans="1:10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row>
    <row r="372" spans="1:10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row>
    <row r="373" spans="1:10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row>
    <row r="374" spans="1:10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row>
    <row r="375" spans="1:10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row>
    <row r="376" spans="1:10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row>
    <row r="377" spans="1:10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row>
    <row r="378" spans="1:10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row>
    <row r="379" spans="1:10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row>
    <row r="380" spans="1:10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row>
    <row r="381" spans="1:10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row>
    <row r="382" spans="1:10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row>
    <row r="383" spans="1:10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row>
    <row r="384" spans="1:10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row>
    <row r="385" spans="1:10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row>
    <row r="386" spans="1:10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row>
    <row r="387" spans="1:10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row>
    <row r="388" spans="1:10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row>
    <row r="389" spans="1:10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row>
    <row r="390" spans="1:10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row>
    <row r="391" spans="1:10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row>
    <row r="392" spans="1:10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row>
    <row r="393" spans="1:10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row>
    <row r="394" spans="1:10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row>
    <row r="395" spans="1:10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row>
    <row r="396" spans="1:10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row>
    <row r="397" spans="1:10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row>
    <row r="398" spans="1:10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row>
    <row r="399" spans="1:10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row>
    <row r="400" spans="1:10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row>
    <row r="401" spans="1:10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row>
    <row r="402" spans="1:10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row>
    <row r="403" spans="1:10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row>
    <row r="404" spans="1:10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row>
    <row r="405" spans="1:10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row>
    <row r="406" spans="1:10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row>
    <row r="407" spans="1:10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row>
    <row r="408" spans="1:10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row>
    <row r="409" spans="1:10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row>
    <row r="410" spans="1:10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row>
    <row r="411" spans="1:10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row>
    <row r="412" spans="1:10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row>
    <row r="413" spans="1:10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row>
    <row r="414" spans="1:10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row>
    <row r="415" spans="1:10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row>
    <row r="416" spans="1:10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row>
    <row r="417" spans="1:10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row>
    <row r="418" spans="1:10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row>
    <row r="419" spans="1:10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row>
    <row r="420" spans="1:10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row>
    <row r="421" spans="1:10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row>
    <row r="422" spans="1:10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row>
    <row r="423" spans="1:10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row>
    <row r="424" spans="1:10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row>
    <row r="425" spans="1:10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row>
    <row r="426" spans="1:10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row>
    <row r="427" spans="1:10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row>
    <row r="428" spans="1:10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row>
    <row r="429" spans="1:10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row>
    <row r="430" spans="1:10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row>
    <row r="431" spans="1:10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row>
    <row r="432" spans="1:10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row>
    <row r="433" spans="1:10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row>
    <row r="434" spans="1:10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row>
    <row r="435" spans="1:10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row>
    <row r="436" spans="1:10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row>
    <row r="437" spans="1:10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row>
    <row r="438" spans="1:10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row>
    <row r="439" spans="1:10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row>
    <row r="440" spans="1:10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row>
    <row r="441" spans="1:10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row>
    <row r="442" spans="1:10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row>
    <row r="443" spans="1:10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row>
    <row r="444" spans="1:10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row>
    <row r="445" spans="1:10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row>
    <row r="446" spans="1:10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row>
    <row r="447" spans="1:10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row>
    <row r="448" spans="1:10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row>
    <row r="449" spans="1:10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row>
    <row r="450" spans="1:10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row>
    <row r="451" spans="1:10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row>
    <row r="452" spans="1:10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row>
    <row r="453" spans="1:10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row>
    <row r="454" spans="1:10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row>
    <row r="455" spans="1:10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row>
    <row r="456" spans="1:10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row>
    <row r="457" spans="1:10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row>
    <row r="458" spans="1:10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row>
    <row r="459" spans="1:10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row>
    <row r="460" spans="1:10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row>
    <row r="461" spans="1:10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row>
    <row r="462" spans="1:10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row>
    <row r="463" spans="1:10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row>
    <row r="464" spans="1:10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row>
    <row r="465" spans="1:10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row>
    <row r="466" spans="1:10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row>
    <row r="467" spans="1:10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row>
    <row r="468" spans="1:10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row>
    <row r="469" spans="1:10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row>
    <row r="470" spans="1:10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row>
    <row r="471" spans="1:10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row>
    <row r="472" spans="1:10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row>
    <row r="473" spans="1:10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row>
    <row r="474" spans="1:10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row>
    <row r="475" spans="1:10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row>
    <row r="476" spans="1:10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row>
    <row r="477" spans="1:10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row>
    <row r="478" spans="1:10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row>
    <row r="479" spans="1:10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row>
    <row r="480" spans="1:10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row>
    <row r="481" spans="1:10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row>
    <row r="482" spans="1:10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row>
    <row r="483" spans="1:10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row>
    <row r="484" spans="1:10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row>
    <row r="485" spans="1:10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row>
    <row r="486" spans="1:10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row>
    <row r="487" spans="1:10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row>
    <row r="488" spans="1:10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row>
    <row r="489" spans="1:10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row>
    <row r="490" spans="1:10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row>
    <row r="491" spans="1:10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row>
    <row r="492" spans="1:10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row>
    <row r="493" spans="1:10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row>
    <row r="494" spans="1:10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row>
    <row r="495" spans="1:10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row>
    <row r="496" spans="1:10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row>
    <row r="497" spans="1:10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row>
    <row r="498" spans="1:10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row>
    <row r="499" spans="1:10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row>
    <row r="500" spans="1:10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row>
    <row r="501" spans="1:10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row>
    <row r="502" spans="1:10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row>
    <row r="503" spans="1:10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row>
    <row r="504" spans="1:10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row>
    <row r="505" spans="1:10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row>
    <row r="506" spans="1:10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row>
    <row r="507" spans="1:10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row>
    <row r="508" spans="1:10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row>
    <row r="509" spans="1:10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row>
    <row r="510" spans="1:10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row>
    <row r="511" spans="1:10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row>
    <row r="512" spans="1:10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row>
    <row r="513" spans="1:10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row>
    <row r="514" spans="1:10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row>
    <row r="515" spans="1:10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row>
    <row r="516" spans="1:10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row>
    <row r="517" spans="1:10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row>
    <row r="518" spans="1:10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row>
    <row r="519" spans="1:10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row>
    <row r="520" spans="1:10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row>
    <row r="521" spans="1:10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row>
    <row r="522" spans="1:10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row>
    <row r="523" spans="1:10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row>
    <row r="524" spans="1:10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row>
    <row r="525" spans="1:10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row>
    <row r="526" spans="1:10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row>
    <row r="527" spans="1:10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row>
    <row r="528" spans="1:10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row>
    <row r="529" spans="1:10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row>
    <row r="530" spans="1:10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row>
    <row r="531" spans="1:10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row>
    <row r="532" spans="1:10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row>
    <row r="533" spans="1:10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row>
    <row r="534" spans="1:10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row>
    <row r="535" spans="1:10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row>
    <row r="536" spans="1:10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row>
    <row r="537" spans="1:10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row>
    <row r="538" spans="1:10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row>
    <row r="539" spans="1:10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row>
    <row r="540" spans="1:10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row>
    <row r="541" spans="1:10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row>
    <row r="542" spans="1:10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row>
    <row r="543" spans="1:10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row>
    <row r="544" spans="1:10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row>
    <row r="545" spans="1:10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row>
    <row r="546" spans="1:10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row>
    <row r="547" spans="1:10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row>
    <row r="548" spans="1:10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row>
    <row r="549" spans="1:10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row>
    <row r="550" spans="1:10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row>
    <row r="551" spans="1:10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row>
    <row r="552" spans="1:10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row>
    <row r="553" spans="1:10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row>
    <row r="554" spans="1:10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row>
    <row r="555" spans="1:10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row>
    <row r="556" spans="1:10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row>
    <row r="557" spans="1:10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row>
    <row r="558" spans="1:10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row>
    <row r="559" spans="1:10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row>
    <row r="560" spans="1:10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row>
    <row r="561" spans="1:10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row>
    <row r="562" spans="1:10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row>
    <row r="563" spans="1:10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row>
    <row r="564" spans="1:10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row>
    <row r="565" spans="1:10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row>
    <row r="566" spans="1:10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row>
    <row r="567" spans="1:10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row>
    <row r="568" spans="1:10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row>
    <row r="569" spans="1:10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row>
    <row r="570" spans="1:10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row>
    <row r="571" spans="1:10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row>
    <row r="572" spans="1:10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row>
    <row r="573" spans="1:10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row>
    <row r="574" spans="1:10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row>
    <row r="575" spans="1:10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row>
    <row r="576" spans="1:10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row>
    <row r="577" spans="1:10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row>
    <row r="578" spans="1:10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row>
    <row r="579" spans="1:10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row>
    <row r="580" spans="1:10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row>
    <row r="581" spans="1:10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row>
    <row r="582" spans="1:10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row>
    <row r="583" spans="1:10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row>
    <row r="584" spans="1:10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row>
    <row r="585" spans="1:10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row>
    <row r="586" spans="1:10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row>
    <row r="587" spans="1:10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row>
    <row r="588" spans="1:10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row>
    <row r="589" spans="1:10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row>
    <row r="590" spans="1:10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row>
    <row r="591" spans="1:10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row>
    <row r="592" spans="1:10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row>
    <row r="593" spans="1:10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row>
    <row r="594" spans="1:10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row>
    <row r="595" spans="1:10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row>
    <row r="596" spans="1:10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row>
    <row r="597" spans="1:10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row>
    <row r="598" spans="1:10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row>
    <row r="599" spans="1:10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row>
    <row r="600" spans="1:10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row>
    <row r="601" spans="1:10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row>
    <row r="602" spans="1:10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row>
    <row r="603" spans="1:10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row>
    <row r="604" spans="1:10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row>
    <row r="605" spans="1:10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row>
    <row r="606" spans="1:10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row>
    <row r="607" spans="1:10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row>
    <row r="608" spans="1:10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row>
    <row r="609" spans="1:10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row>
    <row r="610" spans="1:10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row>
    <row r="611" spans="1:10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row>
    <row r="612" spans="1:10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row>
    <row r="613" spans="1:10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row>
    <row r="614" spans="1:10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row>
    <row r="615" spans="1:10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row>
    <row r="616" spans="1:10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row>
    <row r="617" spans="1:10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row>
    <row r="618" spans="1:10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row>
    <row r="619" spans="1:10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row>
    <row r="620" spans="1:10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row>
    <row r="621" spans="1:10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row>
    <row r="622" spans="1:10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row>
    <row r="623" spans="1:10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row>
    <row r="624" spans="1:10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row>
    <row r="625" spans="1:10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row>
    <row r="626" spans="1:10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row>
    <row r="627" spans="1:10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row>
    <row r="628" spans="1:10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row>
    <row r="629" spans="1:10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row>
    <row r="630" spans="1:10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row>
    <row r="631" spans="1:10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row>
    <row r="632" spans="1:10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row>
    <row r="633" spans="1:10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row>
    <row r="634" spans="1:10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row>
    <row r="635" spans="1:10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row>
    <row r="636" spans="1:10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row>
    <row r="637" spans="1:10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row>
    <row r="638" spans="1:10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row>
    <row r="639" spans="1:10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row>
    <row r="640" spans="1:10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row>
    <row r="641" spans="1:10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row>
    <row r="642" spans="1:10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row>
    <row r="643" spans="1:10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row>
    <row r="644" spans="1:10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row>
    <row r="645" spans="1:10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row>
    <row r="646" spans="1:10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row>
    <row r="647" spans="1:10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row>
    <row r="648" spans="1:10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row>
    <row r="649" spans="1:10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row>
    <row r="650" spans="1:10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row>
    <row r="651" spans="1:10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row>
    <row r="652" spans="1:10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row>
    <row r="653" spans="1:10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row>
    <row r="654" spans="1:10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row>
    <row r="655" spans="1:10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row>
    <row r="656" spans="1:10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row>
    <row r="657" spans="1:10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row>
    <row r="658" spans="1:10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row>
    <row r="659" spans="1:10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row>
    <row r="660" spans="1:10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row>
    <row r="661" spans="1:10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row>
    <row r="662" spans="1:10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row>
    <row r="663" spans="1:10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row>
    <row r="664" spans="1:10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row>
    <row r="665" spans="1:10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row>
    <row r="666" spans="1:10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row>
    <row r="667" spans="1:10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row>
    <row r="668" spans="1:10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row>
    <row r="669" spans="1:10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row>
    <row r="670" spans="1:10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row>
    <row r="671" spans="1:10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row>
    <row r="672" spans="1:10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row>
    <row r="673" spans="1:10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row>
    <row r="674" spans="1:10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row>
    <row r="675" spans="1:10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row>
    <row r="676" spans="1:10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row>
    <row r="677" spans="1:10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row>
    <row r="678" spans="1:10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row>
    <row r="679" spans="1:10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row>
    <row r="680" spans="1:10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row>
    <row r="681" spans="1:10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row>
    <row r="682" spans="1:10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row>
    <row r="683" spans="1:10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row>
    <row r="684" spans="1:10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row>
    <row r="685" spans="1:10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row>
    <row r="686" spans="1:10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row>
    <row r="687" spans="1:10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row>
    <row r="688" spans="1:10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row>
    <row r="689" spans="1:10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row>
    <row r="690" spans="1:10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row>
    <row r="691" spans="1:10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row>
    <row r="692" spans="1:10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row>
    <row r="693" spans="1:10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row>
    <row r="694" spans="1:10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row>
    <row r="695" spans="1:10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row>
    <row r="696" spans="1:10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row>
    <row r="697" spans="1:10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row>
    <row r="698" spans="1:10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row>
    <row r="699" spans="1:10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row>
    <row r="700" spans="1:10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row>
    <row r="701" spans="1:10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row>
    <row r="702" spans="1:10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row>
    <row r="703" spans="1:10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row>
    <row r="704" spans="1:10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row>
    <row r="705" spans="1:10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row>
    <row r="706" spans="1:10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row>
    <row r="707" spans="1:10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row>
    <row r="708" spans="1:10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row>
    <row r="709" spans="1:10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row>
    <row r="710" spans="1:10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row>
    <row r="711" spans="1:10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row>
    <row r="712" spans="1:10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row>
    <row r="713" spans="1:10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row>
    <row r="714" spans="1:10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row>
    <row r="715" spans="1:10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row>
    <row r="716" spans="1:10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row>
    <row r="717" spans="1:10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row>
    <row r="718" spans="1:10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row>
    <row r="719" spans="1:10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row>
    <row r="720" spans="1:10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row>
    <row r="721" spans="1:10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row>
    <row r="722" spans="1:10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row>
    <row r="723" spans="1:10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row>
    <row r="724" spans="1:10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row>
    <row r="725" spans="1:10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row>
    <row r="726" spans="1:10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row>
    <row r="727" spans="1:10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row>
    <row r="728" spans="1:10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row>
    <row r="729" spans="1:10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row>
    <row r="730" spans="1:10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row>
    <row r="731" spans="1:10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row>
    <row r="732" spans="1:10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row>
    <row r="733" spans="1:10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row>
    <row r="734" spans="1:10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row>
    <row r="735" spans="1:10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row>
    <row r="736" spans="1:10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row>
    <row r="737" spans="1:10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row>
    <row r="738" spans="1:10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row>
    <row r="739" spans="1:10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row>
    <row r="740" spans="1:10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row>
    <row r="741" spans="1:10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row>
    <row r="742" spans="1:10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row>
    <row r="743" spans="1:10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row>
    <row r="744" spans="1:10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row>
    <row r="745" spans="1:10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row>
    <row r="746" spans="1:10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row>
    <row r="747" spans="1:10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row>
    <row r="748" spans="1:10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row>
    <row r="749" spans="1:10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row>
    <row r="750" spans="1:10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row>
    <row r="751" spans="1:10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row>
    <row r="752" spans="1:10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row>
    <row r="753" spans="1:10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row>
    <row r="754" spans="1:10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row>
    <row r="755" spans="1:10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row>
    <row r="756" spans="1:10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row>
    <row r="757" spans="1:10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row>
    <row r="758" spans="1:10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row>
    <row r="759" spans="1:10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row>
    <row r="760" spans="1:10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row>
    <row r="761" spans="1:10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row>
    <row r="762" spans="1:10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row>
    <row r="763" spans="1:10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row>
    <row r="764" spans="1:10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row>
    <row r="765" spans="1:10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row>
    <row r="766" spans="1:10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row>
    <row r="767" spans="1:10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row>
    <row r="768" spans="1:10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row>
    <row r="769" spans="1:10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row>
    <row r="770" spans="1:10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row>
    <row r="771" spans="1:10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row>
    <row r="772" spans="1:10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row>
    <row r="773" spans="1:10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row>
    <row r="774" spans="1:10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row>
    <row r="775" spans="1:10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row>
    <row r="776" spans="1:10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row>
    <row r="777" spans="1:10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row>
    <row r="778" spans="1:10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row>
    <row r="779" spans="1:10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row>
    <row r="780" spans="1:10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row>
    <row r="781" spans="1:10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row>
    <row r="782" spans="1:10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row>
    <row r="783" spans="1:10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row>
    <row r="784" spans="1:10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row>
    <row r="785" spans="1:10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row>
    <row r="786" spans="1:10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row>
    <row r="787" spans="1:10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row>
    <row r="788" spans="1:10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row>
    <row r="789" spans="1:10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row>
    <row r="790" spans="1:105">
      <c r="AC790" s="2"/>
      <c r="AD790" s="2"/>
      <c r="AE790" s="2"/>
      <c r="AF790" s="2"/>
      <c r="AG790" s="2"/>
    </row>
    <row r="791" spans="1:105">
      <c r="AC791" s="2"/>
      <c r="AD791" s="2"/>
      <c r="AE791" s="2"/>
      <c r="AF791" s="2"/>
      <c r="AG791" s="2"/>
    </row>
    <row r="792" spans="1:105">
      <c r="AC792" s="2"/>
      <c r="AD792" s="2"/>
      <c r="AE792" s="2"/>
      <c r="AF792" s="2"/>
      <c r="AG792" s="2"/>
    </row>
    <row r="793" spans="1:105">
      <c r="AC793" s="2"/>
      <c r="AD793" s="2"/>
      <c r="AE793" s="2"/>
      <c r="AF793" s="2"/>
      <c r="AG793" s="2"/>
    </row>
    <row r="794" spans="1:105">
      <c r="AC794" s="2"/>
      <c r="AD794" s="2"/>
      <c r="AE794" s="2"/>
      <c r="AF794" s="2"/>
      <c r="AG794" s="2"/>
    </row>
    <row r="795" spans="1:105">
      <c r="AC795" s="2"/>
      <c r="AD795" s="2"/>
      <c r="AE795" s="2"/>
      <c r="AF795" s="2"/>
      <c r="AG795" s="2"/>
    </row>
    <row r="796" spans="1:105">
      <c r="AC796" s="2"/>
      <c r="AD796" s="2"/>
      <c r="AE796" s="2"/>
      <c r="AF796" s="2"/>
      <c r="AG796" s="2"/>
    </row>
    <row r="797" spans="1:105">
      <c r="AC797" s="2"/>
      <c r="AD797" s="2"/>
      <c r="AE797" s="2"/>
      <c r="AF797" s="2"/>
      <c r="AG797" s="2"/>
    </row>
    <row r="798" spans="1:105">
      <c r="AC798" s="2"/>
      <c r="AD798" s="2"/>
      <c r="AE798" s="2"/>
      <c r="AF798" s="2"/>
      <c r="AG798" s="2"/>
    </row>
    <row r="799" spans="1:105">
      <c r="AC799" s="2"/>
      <c r="AD799" s="2"/>
      <c r="AE799" s="2"/>
      <c r="AF799" s="2"/>
      <c r="AG799" s="2"/>
    </row>
    <row r="800" spans="1:105">
      <c r="AC800" s="2"/>
      <c r="AD800" s="2"/>
      <c r="AE800" s="2"/>
      <c r="AF800" s="2"/>
      <c r="AG800" s="2"/>
    </row>
    <row r="801" spans="29:33">
      <c r="AC801" s="2"/>
      <c r="AD801" s="2"/>
      <c r="AE801" s="2"/>
      <c r="AF801" s="2"/>
      <c r="AG801" s="2"/>
    </row>
    <row r="802" spans="29:33">
      <c r="AC802" s="2"/>
      <c r="AD802" s="2"/>
      <c r="AE802" s="2"/>
      <c r="AF802" s="2"/>
      <c r="AG802" s="2"/>
    </row>
    <row r="803" spans="29:33">
      <c r="AC803" s="2"/>
      <c r="AD803" s="2"/>
      <c r="AE803" s="2"/>
      <c r="AF803" s="2"/>
      <c r="AG803" s="2"/>
    </row>
    <row r="804" spans="29:33">
      <c r="AC804" s="2"/>
      <c r="AD804" s="2"/>
      <c r="AE804" s="2"/>
      <c r="AF804" s="2"/>
      <c r="AG804" s="2"/>
    </row>
    <row r="805" spans="29:33">
      <c r="AC805" s="2"/>
      <c r="AD805" s="2"/>
      <c r="AE805" s="2"/>
      <c r="AF805" s="2"/>
      <c r="AG805" s="2"/>
    </row>
    <row r="806" spans="29:33">
      <c r="AC806" s="2"/>
      <c r="AD806" s="2"/>
      <c r="AE806" s="2"/>
      <c r="AF806" s="2"/>
      <c r="AG806" s="2"/>
    </row>
    <row r="807" spans="29:33">
      <c r="AC807" s="2"/>
      <c r="AD807" s="2"/>
      <c r="AE807" s="2"/>
      <c r="AF807" s="2"/>
      <c r="AG807" s="2"/>
    </row>
    <row r="808" spans="29:33">
      <c r="AC808" s="2"/>
      <c r="AD808" s="2"/>
      <c r="AE808" s="2"/>
      <c r="AF808" s="2"/>
      <c r="AG808" s="2"/>
    </row>
    <row r="809" spans="29:33">
      <c r="AC809" s="2"/>
      <c r="AD809" s="2"/>
      <c r="AE809" s="2"/>
      <c r="AF809" s="2"/>
      <c r="AG809" s="2"/>
    </row>
    <row r="810" spans="29:33">
      <c r="AC810" s="2"/>
      <c r="AD810" s="2"/>
      <c r="AE810" s="2"/>
      <c r="AF810" s="2"/>
      <c r="AG810" s="2"/>
    </row>
    <row r="811" spans="29:33">
      <c r="AC811" s="2"/>
      <c r="AD811" s="2"/>
      <c r="AE811" s="2"/>
      <c r="AF811" s="2"/>
      <c r="AG811" s="2"/>
    </row>
    <row r="812" spans="29:33">
      <c r="AC812" s="2"/>
      <c r="AD812" s="2"/>
      <c r="AE812" s="2"/>
      <c r="AF812" s="2"/>
      <c r="AG812" s="2"/>
    </row>
    <row r="813" spans="29:33">
      <c r="AC813" s="2"/>
      <c r="AD813" s="2"/>
      <c r="AE813" s="2"/>
      <c r="AF813" s="2"/>
      <c r="AG813" s="2"/>
    </row>
    <row r="814" spans="29:33">
      <c r="AC814" s="2"/>
      <c r="AD814" s="2"/>
      <c r="AE814" s="2"/>
      <c r="AF814" s="2"/>
      <c r="AG814" s="2"/>
    </row>
    <row r="815" spans="29:33">
      <c r="AC815" s="2"/>
      <c r="AD815" s="2"/>
      <c r="AE815" s="2"/>
      <c r="AF815" s="2"/>
      <c r="AG815" s="2"/>
    </row>
    <row r="816" spans="29:33">
      <c r="AC816" s="2"/>
      <c r="AD816" s="2"/>
      <c r="AE816" s="2"/>
      <c r="AF816" s="2"/>
      <c r="AG816" s="2"/>
    </row>
    <row r="817" spans="29:33">
      <c r="AC817" s="2"/>
      <c r="AD817" s="2"/>
      <c r="AE817" s="2"/>
      <c r="AF817" s="2"/>
      <c r="AG817" s="2"/>
    </row>
    <row r="818" spans="29:33">
      <c r="AC818" s="2"/>
      <c r="AD818" s="2"/>
      <c r="AE818" s="2"/>
      <c r="AF818" s="2"/>
      <c r="AG818" s="2"/>
    </row>
    <row r="819" spans="29:33">
      <c r="AC819" s="2"/>
      <c r="AD819" s="2"/>
      <c r="AE819" s="2"/>
      <c r="AF819" s="2"/>
      <c r="AG819" s="2"/>
    </row>
    <row r="820" spans="29:33">
      <c r="AC820" s="2"/>
      <c r="AD820" s="2"/>
      <c r="AE820" s="2"/>
      <c r="AF820" s="2"/>
      <c r="AG820" s="2"/>
    </row>
    <row r="821" spans="29:33">
      <c r="AC821" s="2"/>
      <c r="AD821" s="2"/>
      <c r="AE821" s="2"/>
      <c r="AF821" s="2"/>
      <c r="AG821" s="2"/>
    </row>
    <row r="822" spans="29:33">
      <c r="AC822" s="2"/>
      <c r="AD822" s="2"/>
      <c r="AE822" s="2"/>
      <c r="AF822" s="2"/>
      <c r="AG822" s="2"/>
    </row>
    <row r="823" spans="29:33">
      <c r="AC823" s="2"/>
      <c r="AD823" s="2"/>
      <c r="AE823" s="2"/>
      <c r="AF823" s="2"/>
      <c r="AG823" s="2"/>
    </row>
    <row r="824" spans="29:33">
      <c r="AC824" s="2"/>
      <c r="AD824" s="2"/>
      <c r="AE824" s="2"/>
      <c r="AF824" s="2"/>
      <c r="AG824" s="2"/>
    </row>
    <row r="825" spans="29:33">
      <c r="AC825" s="2"/>
      <c r="AD825" s="2"/>
      <c r="AE825" s="2"/>
      <c r="AF825" s="2"/>
      <c r="AG825" s="2"/>
    </row>
    <row r="826" spans="29:33">
      <c r="AC826" s="2"/>
      <c r="AD826" s="2"/>
      <c r="AE826" s="2"/>
      <c r="AF826" s="2"/>
      <c r="AG826" s="2"/>
    </row>
    <row r="827" spans="29:33">
      <c r="AC827" s="2"/>
      <c r="AD827" s="2"/>
      <c r="AE827" s="2"/>
      <c r="AF827" s="2"/>
      <c r="AG827" s="2"/>
    </row>
    <row r="828" spans="29:33">
      <c r="AC828" s="2"/>
      <c r="AD828" s="2"/>
      <c r="AE828" s="2"/>
      <c r="AF828" s="2"/>
      <c r="AG828" s="2"/>
    </row>
    <row r="829" spans="29:33">
      <c r="AC829" s="2"/>
      <c r="AD829" s="2"/>
      <c r="AE829" s="2"/>
      <c r="AF829" s="2"/>
      <c r="AG829" s="2"/>
    </row>
    <row r="830" spans="29:33">
      <c r="AC830" s="2"/>
      <c r="AD830" s="2"/>
      <c r="AE830" s="2"/>
      <c r="AF830" s="2"/>
      <c r="AG830" s="2"/>
    </row>
    <row r="831" spans="29:33">
      <c r="AC831" s="2"/>
      <c r="AD831" s="2"/>
      <c r="AE831" s="2"/>
      <c r="AF831" s="2"/>
      <c r="AG831" s="2"/>
    </row>
    <row r="832" spans="29:33">
      <c r="AC832" s="2"/>
      <c r="AD832" s="2"/>
      <c r="AE832" s="2"/>
      <c r="AF832" s="2"/>
      <c r="AG832" s="2"/>
    </row>
    <row r="833" spans="29:33">
      <c r="AC833" s="2"/>
      <c r="AD833" s="2"/>
      <c r="AE833" s="2"/>
      <c r="AF833" s="2"/>
      <c r="AG833" s="2"/>
    </row>
    <row r="834" spans="29:33">
      <c r="AC834" s="2"/>
      <c r="AD834" s="2"/>
      <c r="AE834" s="2"/>
      <c r="AF834" s="2"/>
      <c r="AG834" s="2"/>
    </row>
    <row r="835" spans="29:33">
      <c r="AC835" s="2"/>
      <c r="AD835" s="2"/>
      <c r="AE835" s="2"/>
      <c r="AF835" s="2"/>
      <c r="AG835" s="2"/>
    </row>
    <row r="836" spans="29:33">
      <c r="AC836" s="2"/>
      <c r="AD836" s="2"/>
      <c r="AE836" s="2"/>
      <c r="AF836" s="2"/>
      <c r="AG836" s="2"/>
    </row>
    <row r="837" spans="29:33">
      <c r="AC837" s="2"/>
      <c r="AD837" s="2"/>
      <c r="AE837" s="2"/>
      <c r="AF837" s="2"/>
      <c r="AG837" s="2"/>
    </row>
    <row r="838" spans="29:33">
      <c r="AC838" s="2"/>
      <c r="AD838" s="2"/>
      <c r="AE838" s="2"/>
      <c r="AF838" s="2"/>
      <c r="AG838" s="2"/>
    </row>
    <row r="839" spans="29:33">
      <c r="AC839" s="2"/>
      <c r="AD839" s="2"/>
      <c r="AE839" s="2"/>
      <c r="AF839" s="2"/>
      <c r="AG839" s="2"/>
    </row>
    <row r="840" spans="29:33">
      <c r="AC840" s="2"/>
      <c r="AD840" s="2"/>
      <c r="AE840" s="2"/>
      <c r="AF840" s="2"/>
      <c r="AG840" s="2"/>
    </row>
    <row r="841" spans="29:33">
      <c r="AC841" s="2"/>
      <c r="AD841" s="2"/>
      <c r="AE841" s="2"/>
      <c r="AF841" s="2"/>
      <c r="AG841" s="2"/>
    </row>
    <row r="842" spans="29:33">
      <c r="AC842" s="2"/>
      <c r="AD842" s="2"/>
      <c r="AE842" s="2"/>
      <c r="AF842" s="2"/>
      <c r="AG842" s="2"/>
    </row>
    <row r="843" spans="29:33">
      <c r="AC843" s="2"/>
      <c r="AD843" s="2"/>
      <c r="AE843" s="2"/>
      <c r="AF843" s="2"/>
      <c r="AG843" s="2"/>
    </row>
    <row r="844" spans="29:33">
      <c r="AC844" s="2"/>
      <c r="AD844" s="2"/>
      <c r="AE844" s="2"/>
      <c r="AF844" s="2"/>
      <c r="AG844" s="2"/>
    </row>
    <row r="845" spans="29:33">
      <c r="AC845" s="2"/>
      <c r="AD845" s="2"/>
      <c r="AE845" s="2"/>
      <c r="AF845" s="2"/>
      <c r="AG845" s="2"/>
    </row>
    <row r="846" spans="29:33">
      <c r="AC846" s="2"/>
      <c r="AD846" s="2"/>
      <c r="AE846" s="2"/>
      <c r="AF846" s="2"/>
      <c r="AG846" s="2"/>
    </row>
    <row r="847" spans="29:33">
      <c r="AC847" s="2"/>
      <c r="AD847" s="2"/>
      <c r="AE847" s="2"/>
      <c r="AF847" s="2"/>
      <c r="AG847" s="2"/>
    </row>
    <row r="848" spans="29:33">
      <c r="AC848" s="2"/>
      <c r="AD848" s="2"/>
      <c r="AE848" s="2"/>
      <c r="AF848" s="2"/>
      <c r="AG848" s="2"/>
    </row>
    <row r="849" spans="29:33">
      <c r="AC849" s="2"/>
      <c r="AD849" s="2"/>
      <c r="AE849" s="2"/>
      <c r="AF849" s="2"/>
      <c r="AG849" s="2"/>
    </row>
    <row r="850" spans="29:33">
      <c r="AC850" s="2"/>
      <c r="AD850" s="2"/>
      <c r="AE850" s="2"/>
      <c r="AF850" s="2"/>
      <c r="AG850" s="2"/>
    </row>
    <row r="851" spans="29:33">
      <c r="AC851" s="2"/>
      <c r="AD851" s="2"/>
      <c r="AE851" s="2"/>
      <c r="AF851" s="2"/>
      <c r="AG851" s="2"/>
    </row>
    <row r="852" spans="29:33">
      <c r="AC852" s="2"/>
      <c r="AD852" s="2"/>
      <c r="AE852" s="2"/>
      <c r="AF852" s="2"/>
      <c r="AG852" s="2"/>
    </row>
    <row r="853" spans="29:33">
      <c r="AC853" s="2"/>
      <c r="AD853" s="2"/>
      <c r="AE853" s="2"/>
      <c r="AF853" s="2"/>
      <c r="AG853" s="2"/>
    </row>
    <row r="854" spans="29:33">
      <c r="AC854" s="2"/>
      <c r="AD854" s="2"/>
      <c r="AE854" s="2"/>
      <c r="AF854" s="2"/>
      <c r="AG854" s="2"/>
    </row>
    <row r="855" spans="29:33">
      <c r="AC855" s="2"/>
      <c r="AD855" s="2"/>
      <c r="AE855" s="2"/>
      <c r="AF855" s="2"/>
      <c r="AG855" s="2"/>
    </row>
    <row r="856" spans="29:33">
      <c r="AC856" s="2"/>
      <c r="AD856" s="2"/>
      <c r="AE856" s="2"/>
      <c r="AF856" s="2"/>
      <c r="AG856" s="2"/>
    </row>
    <row r="857" spans="29:33">
      <c r="AC857" s="2"/>
      <c r="AD857" s="2"/>
      <c r="AE857" s="2"/>
      <c r="AF857" s="2"/>
      <c r="AG857" s="2"/>
    </row>
    <row r="858" spans="29:33">
      <c r="AC858" s="2"/>
      <c r="AD858" s="2"/>
      <c r="AE858" s="2"/>
      <c r="AF858" s="2"/>
      <c r="AG858" s="2"/>
    </row>
    <row r="859" spans="29:33">
      <c r="AC859" s="2"/>
      <c r="AD859" s="2"/>
      <c r="AE859" s="2"/>
      <c r="AF859" s="2"/>
      <c r="AG859" s="2"/>
    </row>
    <row r="860" spans="29:33">
      <c r="AC860" s="2"/>
      <c r="AD860" s="2"/>
      <c r="AE860" s="2"/>
      <c r="AF860" s="2"/>
      <c r="AG860" s="2"/>
    </row>
    <row r="861" spans="29:33">
      <c r="AC861" s="2"/>
      <c r="AD861" s="2"/>
      <c r="AE861" s="2"/>
      <c r="AF861" s="2"/>
      <c r="AG861" s="2"/>
    </row>
    <row r="862" spans="29:33">
      <c r="AC862" s="2"/>
      <c r="AD862" s="2"/>
      <c r="AE862" s="2"/>
      <c r="AF862" s="2"/>
      <c r="AG862" s="2"/>
    </row>
    <row r="863" spans="29:33">
      <c r="AC863" s="2"/>
      <c r="AD863" s="2"/>
      <c r="AE863" s="2"/>
      <c r="AF863" s="2"/>
      <c r="AG863" s="2"/>
    </row>
    <row r="864" spans="29:33">
      <c r="AC864" s="2"/>
      <c r="AD864" s="2"/>
      <c r="AE864" s="2"/>
      <c r="AF864" s="2"/>
      <c r="AG864" s="2"/>
    </row>
    <row r="865" spans="29:33">
      <c r="AC865" s="2"/>
      <c r="AD865" s="2"/>
      <c r="AE865" s="2"/>
      <c r="AF865" s="2"/>
      <c r="AG865" s="2"/>
    </row>
    <row r="866" spans="29:33">
      <c r="AC866" s="2"/>
      <c r="AD866" s="2"/>
      <c r="AE866" s="2"/>
      <c r="AF866" s="2"/>
      <c r="AG866" s="2"/>
    </row>
    <row r="867" spans="29:33">
      <c r="AC867" s="2"/>
      <c r="AD867" s="2"/>
      <c r="AE867" s="2"/>
      <c r="AF867" s="2"/>
      <c r="AG867" s="2"/>
    </row>
    <row r="868" spans="29:33">
      <c r="AC868" s="2"/>
      <c r="AD868" s="2"/>
      <c r="AE868" s="2"/>
      <c r="AF868" s="2"/>
      <c r="AG868" s="2"/>
    </row>
    <row r="869" spans="29:33">
      <c r="AC869" s="2"/>
      <c r="AD869" s="2"/>
      <c r="AE869" s="2"/>
      <c r="AF869" s="2"/>
      <c r="AG869" s="2"/>
    </row>
    <row r="870" spans="29:33">
      <c r="AC870" s="2"/>
      <c r="AD870" s="2"/>
      <c r="AE870" s="2"/>
      <c r="AF870" s="2"/>
      <c r="AG870" s="2"/>
    </row>
    <row r="871" spans="29:33">
      <c r="AC871" s="2"/>
      <c r="AD871" s="2"/>
      <c r="AE871" s="2"/>
      <c r="AF871" s="2"/>
      <c r="AG871" s="2"/>
    </row>
    <row r="872" spans="29:33">
      <c r="AC872" s="2"/>
      <c r="AD872" s="2"/>
      <c r="AE872" s="2"/>
      <c r="AF872" s="2"/>
      <c r="AG872" s="2"/>
    </row>
    <row r="873" spans="29:33">
      <c r="AC873" s="2"/>
      <c r="AD873" s="2"/>
      <c r="AE873" s="2"/>
      <c r="AF873" s="2"/>
      <c r="AG873" s="2"/>
    </row>
    <row r="874" spans="29:33">
      <c r="AC874" s="2"/>
      <c r="AD874" s="2"/>
      <c r="AE874" s="2"/>
      <c r="AF874" s="2"/>
      <c r="AG874" s="2"/>
    </row>
    <row r="875" spans="29:33">
      <c r="AC875" s="2"/>
      <c r="AD875" s="2"/>
      <c r="AE875" s="2"/>
      <c r="AF875" s="2"/>
      <c r="AG875" s="2"/>
    </row>
    <row r="876" spans="29:33">
      <c r="AC876" s="2"/>
      <c r="AD876" s="2"/>
      <c r="AE876" s="2"/>
      <c r="AF876" s="2"/>
      <c r="AG876" s="2"/>
    </row>
    <row r="877" spans="29:33">
      <c r="AC877" s="2"/>
      <c r="AD877" s="2"/>
      <c r="AE877" s="2"/>
      <c r="AF877" s="2"/>
      <c r="AG877" s="2"/>
    </row>
    <row r="878" spans="29:33">
      <c r="AC878" s="2"/>
      <c r="AD878" s="2"/>
      <c r="AE878" s="2"/>
      <c r="AF878" s="2"/>
      <c r="AG878" s="2"/>
    </row>
    <row r="879" spans="29:33">
      <c r="AC879" s="2"/>
      <c r="AD879" s="2"/>
      <c r="AE879" s="2"/>
      <c r="AF879" s="2"/>
      <c r="AG879" s="2"/>
    </row>
    <row r="880" spans="29:33">
      <c r="AC880" s="2"/>
      <c r="AD880" s="2"/>
      <c r="AE880" s="2"/>
      <c r="AF880" s="2"/>
      <c r="AG880" s="2"/>
    </row>
    <row r="881" spans="29:33">
      <c r="AC881" s="2"/>
      <c r="AD881" s="2"/>
      <c r="AE881" s="2"/>
      <c r="AF881" s="2"/>
      <c r="AG881" s="2"/>
    </row>
    <row r="882" spans="29:33">
      <c r="AC882" s="2"/>
      <c r="AD882" s="2"/>
      <c r="AE882" s="2"/>
      <c r="AF882" s="2"/>
      <c r="AG882" s="2"/>
    </row>
    <row r="883" spans="29:33">
      <c r="AC883" s="2"/>
      <c r="AD883" s="2"/>
      <c r="AE883" s="2"/>
      <c r="AF883" s="2"/>
      <c r="AG883" s="2"/>
    </row>
    <row r="884" spans="29:33">
      <c r="AC884" s="2"/>
      <c r="AD884" s="2"/>
      <c r="AE884" s="2"/>
      <c r="AF884" s="2"/>
      <c r="AG884" s="2"/>
    </row>
    <row r="885" spans="29:33">
      <c r="AC885" s="2"/>
      <c r="AD885" s="2"/>
      <c r="AE885" s="2"/>
      <c r="AF885" s="2"/>
      <c r="AG885" s="2"/>
    </row>
    <row r="886" spans="29:33">
      <c r="AC886" s="2"/>
      <c r="AD886" s="2"/>
      <c r="AE886" s="2"/>
      <c r="AF886" s="2"/>
      <c r="AG886" s="2"/>
    </row>
    <row r="887" spans="29:33">
      <c r="AC887" s="2"/>
      <c r="AD887" s="2"/>
      <c r="AE887" s="2"/>
      <c r="AF887" s="2"/>
      <c r="AG887" s="2"/>
    </row>
    <row r="888" spans="29:33">
      <c r="AC888" s="2"/>
      <c r="AD888" s="2"/>
      <c r="AE888" s="2"/>
      <c r="AF888" s="2"/>
      <c r="AG888" s="2"/>
    </row>
    <row r="889" spans="29:33">
      <c r="AC889" s="2"/>
      <c r="AD889" s="2"/>
      <c r="AE889" s="2"/>
      <c r="AF889" s="2"/>
      <c r="AG889" s="2"/>
    </row>
    <row r="890" spans="29:33">
      <c r="AC890" s="2"/>
      <c r="AD890" s="2"/>
      <c r="AE890" s="2"/>
      <c r="AF890" s="2"/>
      <c r="AG890" s="2"/>
    </row>
    <row r="891" spans="29:33">
      <c r="AC891" s="2"/>
      <c r="AD891" s="2"/>
      <c r="AE891" s="2"/>
      <c r="AF891" s="2"/>
      <c r="AG891" s="2"/>
    </row>
    <row r="892" spans="29:33">
      <c r="AC892" s="2"/>
      <c r="AD892" s="2"/>
      <c r="AE892" s="2"/>
      <c r="AF892" s="2"/>
      <c r="AG892" s="2"/>
    </row>
    <row r="893" spans="29:33">
      <c r="AC893" s="2"/>
      <c r="AD893" s="2"/>
      <c r="AE893" s="2"/>
      <c r="AF893" s="2"/>
      <c r="AG893" s="2"/>
    </row>
    <row r="894" spans="29:33">
      <c r="AC894" s="2"/>
      <c r="AD894" s="2"/>
      <c r="AE894" s="2"/>
      <c r="AF894" s="2"/>
      <c r="AG894" s="2"/>
    </row>
    <row r="895" spans="29:33">
      <c r="AC895" s="2"/>
      <c r="AD895" s="2"/>
      <c r="AE895" s="2"/>
      <c r="AF895" s="2"/>
      <c r="AG895" s="2"/>
    </row>
    <row r="896" spans="29:33">
      <c r="AC896" s="2"/>
      <c r="AD896" s="2"/>
      <c r="AE896" s="2"/>
      <c r="AF896" s="2"/>
      <c r="AG896" s="2"/>
    </row>
    <row r="897" spans="29:33">
      <c r="AC897" s="2"/>
      <c r="AD897" s="2"/>
      <c r="AE897" s="2"/>
      <c r="AF897" s="2"/>
      <c r="AG897" s="2"/>
    </row>
    <row r="898" spans="29:33">
      <c r="AC898" s="2"/>
      <c r="AD898" s="2"/>
      <c r="AE898" s="2"/>
      <c r="AF898" s="2"/>
      <c r="AG898" s="2"/>
    </row>
    <row r="899" spans="29:33">
      <c r="AC899" s="2"/>
      <c r="AD899" s="2"/>
      <c r="AE899" s="2"/>
      <c r="AF899" s="2"/>
      <c r="AG899" s="2"/>
    </row>
    <row r="900" spans="29:33">
      <c r="AC900" s="2"/>
      <c r="AD900" s="2"/>
      <c r="AE900" s="2"/>
      <c r="AF900" s="2"/>
      <c r="AG900" s="2"/>
    </row>
    <row r="901" spans="29:33">
      <c r="AC901" s="2"/>
      <c r="AD901" s="2"/>
      <c r="AE901" s="2"/>
      <c r="AF901" s="2"/>
      <c r="AG901" s="2"/>
    </row>
    <row r="902" spans="29:33">
      <c r="AC902" s="2"/>
      <c r="AD902" s="2"/>
      <c r="AE902" s="2"/>
      <c r="AF902" s="2"/>
      <c r="AG902" s="2"/>
    </row>
    <row r="903" spans="29:33">
      <c r="AC903" s="2"/>
      <c r="AD903" s="2"/>
      <c r="AE903" s="2"/>
      <c r="AF903" s="2"/>
      <c r="AG903" s="2"/>
    </row>
    <row r="904" spans="29:33">
      <c r="AC904" s="2"/>
      <c r="AD904" s="2"/>
      <c r="AE904" s="2"/>
      <c r="AF904" s="2"/>
      <c r="AG904" s="2"/>
    </row>
    <row r="905" spans="29:33">
      <c r="AC905" s="2"/>
      <c r="AD905" s="2"/>
      <c r="AE905" s="2"/>
      <c r="AF905" s="2"/>
      <c r="AG905" s="2"/>
    </row>
    <row r="906" spans="29:33">
      <c r="AC906" s="2"/>
      <c r="AD906" s="2"/>
      <c r="AE906" s="2"/>
      <c r="AF906" s="2"/>
      <c r="AG906" s="2"/>
    </row>
    <row r="907" spans="29:33">
      <c r="AC907" s="2"/>
      <c r="AD907" s="2"/>
      <c r="AE907" s="2"/>
      <c r="AF907" s="2"/>
      <c r="AG907" s="2"/>
    </row>
    <row r="908" spans="29:33">
      <c r="AC908" s="2"/>
      <c r="AD908" s="2"/>
      <c r="AE908" s="2"/>
      <c r="AF908" s="2"/>
      <c r="AG908" s="2"/>
    </row>
    <row r="909" spans="29:33">
      <c r="AC909" s="2"/>
      <c r="AD909" s="2"/>
      <c r="AE909" s="2"/>
      <c r="AF909" s="2"/>
      <c r="AG909" s="2"/>
    </row>
    <row r="910" spans="29:33">
      <c r="AC910" s="2"/>
      <c r="AD910" s="2"/>
      <c r="AE910" s="2"/>
      <c r="AF910" s="2"/>
      <c r="AG910" s="2"/>
    </row>
    <row r="911" spans="29:33">
      <c r="AC911" s="2"/>
      <c r="AD911" s="2"/>
      <c r="AE911" s="2"/>
      <c r="AF911" s="2"/>
      <c r="AG911" s="2"/>
    </row>
    <row r="912" spans="29:33">
      <c r="AC912" s="2"/>
      <c r="AD912" s="2"/>
      <c r="AE912" s="2"/>
      <c r="AF912" s="2"/>
      <c r="AG912" s="2"/>
    </row>
    <row r="913" spans="29:33">
      <c r="AC913" s="2"/>
      <c r="AD913" s="2"/>
      <c r="AE913" s="2"/>
      <c r="AF913" s="2"/>
      <c r="AG913" s="2"/>
    </row>
    <row r="914" spans="29:33">
      <c r="AC914" s="2"/>
      <c r="AD914" s="2"/>
      <c r="AE914" s="2"/>
      <c r="AF914" s="2"/>
      <c r="AG914" s="2"/>
    </row>
    <row r="915" spans="29:33">
      <c r="AC915" s="2"/>
      <c r="AD915" s="2"/>
      <c r="AE915" s="2"/>
      <c r="AF915" s="2"/>
      <c r="AG915" s="2"/>
    </row>
    <row r="916" spans="29:33">
      <c r="AC916" s="2"/>
      <c r="AD916" s="2"/>
      <c r="AE916" s="2"/>
      <c r="AF916" s="2"/>
      <c r="AG916" s="2"/>
    </row>
    <row r="917" spans="29:33">
      <c r="AC917" s="2"/>
      <c r="AD917" s="2"/>
      <c r="AE917" s="2"/>
      <c r="AF917" s="2"/>
      <c r="AG917" s="2"/>
    </row>
    <row r="918" spans="29:33">
      <c r="AC918" s="2"/>
      <c r="AD918" s="2"/>
      <c r="AE918" s="2"/>
      <c r="AF918" s="2"/>
      <c r="AG918" s="2"/>
    </row>
    <row r="919" spans="29:33">
      <c r="AC919" s="2"/>
      <c r="AD919" s="2"/>
      <c r="AE919" s="2"/>
      <c r="AF919" s="2"/>
      <c r="AG919" s="2"/>
    </row>
    <row r="920" spans="29:33">
      <c r="AC920" s="2"/>
      <c r="AD920" s="2"/>
      <c r="AE920" s="2"/>
      <c r="AF920" s="2"/>
      <c r="AG920" s="2"/>
    </row>
    <row r="921" spans="29:33">
      <c r="AC921" s="2"/>
      <c r="AD921" s="2"/>
      <c r="AE921" s="2"/>
      <c r="AF921" s="2"/>
      <c r="AG921" s="2"/>
    </row>
    <row r="922" spans="29:33">
      <c r="AC922" s="2"/>
      <c r="AD922" s="2"/>
      <c r="AE922" s="2"/>
      <c r="AF922" s="2"/>
      <c r="AG922" s="2"/>
    </row>
    <row r="923" spans="29:33">
      <c r="AC923" s="2"/>
      <c r="AD923" s="2"/>
      <c r="AE923" s="2"/>
      <c r="AF923" s="2"/>
      <c r="AG923" s="2"/>
    </row>
    <row r="924" spans="29:33">
      <c r="AC924" s="2"/>
      <c r="AD924" s="2"/>
      <c r="AE924" s="2"/>
      <c r="AF924" s="2"/>
      <c r="AG924" s="2"/>
    </row>
    <row r="925" spans="29:33">
      <c r="AC925" s="2"/>
      <c r="AD925" s="2"/>
      <c r="AE925" s="2"/>
      <c r="AF925" s="2"/>
      <c r="AG925" s="2"/>
    </row>
    <row r="926" spans="29:33">
      <c r="AC926" s="2"/>
      <c r="AD926" s="2"/>
      <c r="AE926" s="2"/>
      <c r="AF926" s="2"/>
      <c r="AG926" s="2"/>
    </row>
    <row r="927" spans="29:33">
      <c r="AC927" s="2"/>
      <c r="AD927" s="2"/>
      <c r="AE927" s="2"/>
      <c r="AF927" s="2"/>
      <c r="AG927" s="2"/>
    </row>
    <row r="928" spans="29:33">
      <c r="AC928" s="2"/>
      <c r="AD928" s="2"/>
      <c r="AE928" s="2"/>
      <c r="AF928" s="2"/>
      <c r="AG928" s="2"/>
    </row>
    <row r="929" spans="29:33">
      <c r="AC929" s="2"/>
      <c r="AD929" s="2"/>
      <c r="AE929" s="2"/>
      <c r="AF929" s="2"/>
      <c r="AG929" s="2"/>
    </row>
    <row r="930" spans="29:33">
      <c r="AC930" s="2"/>
      <c r="AD930" s="2"/>
      <c r="AE930" s="2"/>
      <c r="AF930" s="2"/>
      <c r="AG930" s="2"/>
    </row>
    <row r="931" spans="29:33">
      <c r="AC931" s="2"/>
      <c r="AD931" s="2"/>
      <c r="AE931" s="2"/>
      <c r="AF931" s="2"/>
      <c r="AG931" s="2"/>
    </row>
    <row r="932" spans="29:33">
      <c r="AC932" s="2"/>
      <c r="AD932" s="2"/>
      <c r="AE932" s="2"/>
      <c r="AF932" s="2"/>
      <c r="AG932" s="2"/>
    </row>
    <row r="933" spans="29:33">
      <c r="AC933" s="2"/>
      <c r="AD933" s="2"/>
      <c r="AE933" s="2"/>
      <c r="AF933" s="2"/>
      <c r="AG933" s="2"/>
    </row>
    <row r="934" spans="29:33">
      <c r="AC934" s="2"/>
      <c r="AD934" s="2"/>
      <c r="AE934" s="2"/>
      <c r="AF934" s="2"/>
      <c r="AG934" s="2"/>
    </row>
    <row r="935" spans="29:33">
      <c r="AC935" s="2"/>
      <c r="AD935" s="2"/>
      <c r="AE935" s="2"/>
      <c r="AF935" s="2"/>
      <c r="AG935" s="2"/>
    </row>
    <row r="936" spans="29:33">
      <c r="AC936" s="2"/>
      <c r="AD936" s="2"/>
      <c r="AE936" s="2"/>
      <c r="AF936" s="2"/>
      <c r="AG936" s="2"/>
    </row>
    <row r="937" spans="29:33">
      <c r="AC937" s="2"/>
      <c r="AD937" s="2"/>
      <c r="AE937" s="2"/>
      <c r="AF937" s="2"/>
      <c r="AG937" s="2"/>
    </row>
    <row r="938" spans="29:33">
      <c r="AC938" s="2"/>
      <c r="AD938" s="2"/>
      <c r="AE938" s="2"/>
      <c r="AF938" s="2"/>
      <c r="AG938" s="2"/>
    </row>
    <row r="939" spans="29:33">
      <c r="AC939" s="2"/>
      <c r="AD939" s="2"/>
      <c r="AE939" s="2"/>
      <c r="AF939" s="2"/>
      <c r="AG939" s="2"/>
    </row>
    <row r="940" spans="29:33">
      <c r="AC940" s="2"/>
      <c r="AD940" s="2"/>
      <c r="AE940" s="2"/>
      <c r="AF940" s="2"/>
      <c r="AG940" s="2"/>
    </row>
    <row r="941" spans="29:33">
      <c r="AC941" s="2"/>
      <c r="AD941" s="2"/>
      <c r="AE941" s="2"/>
      <c r="AF941" s="2"/>
      <c r="AG941" s="2"/>
    </row>
    <row r="942" spans="29:33">
      <c r="AC942" s="2"/>
      <c r="AD942" s="2"/>
      <c r="AE942" s="2"/>
      <c r="AF942" s="2"/>
      <c r="AG942" s="2"/>
    </row>
    <row r="943" spans="29:33">
      <c r="AC943" s="2"/>
      <c r="AD943" s="2"/>
      <c r="AE943" s="2"/>
      <c r="AF943" s="2"/>
      <c r="AG943" s="2"/>
    </row>
    <row r="944" spans="29:33">
      <c r="AC944" s="2"/>
      <c r="AD944" s="2"/>
      <c r="AE944" s="2"/>
      <c r="AF944" s="2"/>
      <c r="AG944" s="2"/>
    </row>
    <row r="945" spans="29:33">
      <c r="AC945" s="2"/>
      <c r="AD945" s="2"/>
      <c r="AE945" s="2"/>
      <c r="AF945" s="2"/>
      <c r="AG945" s="2"/>
    </row>
    <row r="946" spans="29:33">
      <c r="AC946" s="2"/>
      <c r="AD946" s="2"/>
      <c r="AE946" s="2"/>
      <c r="AF946" s="2"/>
      <c r="AG946" s="2"/>
    </row>
    <row r="947" spans="29:33">
      <c r="AC947" s="2"/>
      <c r="AD947" s="2"/>
      <c r="AE947" s="2"/>
      <c r="AF947" s="2"/>
      <c r="AG947" s="2"/>
    </row>
    <row r="948" spans="29:33">
      <c r="AC948" s="2"/>
      <c r="AD948" s="2"/>
      <c r="AE948" s="2"/>
      <c r="AF948" s="2"/>
      <c r="AG948" s="2"/>
    </row>
    <row r="949" spans="29:33">
      <c r="AC949" s="2"/>
      <c r="AD949" s="2"/>
      <c r="AE949" s="2"/>
      <c r="AF949" s="2"/>
      <c r="AG949" s="2"/>
    </row>
    <row r="950" spans="29:33">
      <c r="AC950" s="2"/>
      <c r="AD950" s="2"/>
      <c r="AE950" s="2"/>
      <c r="AF950" s="2"/>
      <c r="AG950" s="2"/>
    </row>
    <row r="951" spans="29:33">
      <c r="AC951" s="2"/>
      <c r="AD951" s="2"/>
      <c r="AE951" s="2"/>
      <c r="AF951" s="2"/>
      <c r="AG951" s="2"/>
    </row>
    <row r="952" spans="29:33">
      <c r="AC952" s="2"/>
      <c r="AD952" s="2"/>
      <c r="AE952" s="2"/>
      <c r="AF952" s="2"/>
      <c r="AG952" s="2"/>
    </row>
    <row r="953" spans="29:33">
      <c r="AC953" s="2"/>
      <c r="AD953" s="2"/>
      <c r="AE953" s="2"/>
      <c r="AF953" s="2"/>
      <c r="AG953" s="2"/>
    </row>
    <row r="954" spans="29:33">
      <c r="AC954" s="2"/>
      <c r="AD954" s="2"/>
      <c r="AE954" s="2"/>
      <c r="AF954" s="2"/>
      <c r="AG954" s="2"/>
    </row>
    <row r="955" spans="29:33">
      <c r="AC955" s="2"/>
      <c r="AD955" s="2"/>
      <c r="AE955" s="2"/>
      <c r="AF955" s="2"/>
      <c r="AG955" s="2"/>
    </row>
    <row r="956" spans="29:33">
      <c r="AC956" s="2"/>
      <c r="AD956" s="2"/>
      <c r="AE956" s="2"/>
      <c r="AF956" s="2"/>
      <c r="AG956" s="2"/>
    </row>
    <row r="957" spans="29:33">
      <c r="AC957" s="2"/>
      <c r="AD957" s="2"/>
      <c r="AE957" s="2"/>
      <c r="AF957" s="2"/>
      <c r="AG957" s="2"/>
    </row>
    <row r="958" spans="29:33">
      <c r="AC958" s="2"/>
      <c r="AD958" s="2"/>
      <c r="AE958" s="2"/>
      <c r="AF958" s="2"/>
      <c r="AG958" s="2"/>
    </row>
    <row r="959" spans="29:33">
      <c r="AC959" s="2"/>
      <c r="AD959" s="2"/>
      <c r="AE959" s="2"/>
      <c r="AF959" s="2"/>
      <c r="AG959" s="2"/>
    </row>
    <row r="960" spans="29:33">
      <c r="AC960" s="2"/>
      <c r="AD960" s="2"/>
      <c r="AE960" s="2"/>
      <c r="AF960" s="2"/>
      <c r="AG960" s="2"/>
    </row>
    <row r="961" spans="29:33">
      <c r="AC961" s="2"/>
      <c r="AD961" s="2"/>
      <c r="AE961" s="2"/>
      <c r="AF961" s="2"/>
      <c r="AG961" s="2"/>
    </row>
    <row r="962" spans="29:33">
      <c r="AC962" s="2"/>
      <c r="AD962" s="2"/>
      <c r="AE962" s="2"/>
      <c r="AF962" s="2"/>
      <c r="AG962" s="2"/>
    </row>
    <row r="963" spans="29:33">
      <c r="AC963" s="2"/>
      <c r="AD963" s="2"/>
      <c r="AE963" s="2"/>
      <c r="AF963" s="2"/>
      <c r="AG963" s="2"/>
    </row>
    <row r="964" spans="29:33">
      <c r="AC964" s="2"/>
      <c r="AD964" s="2"/>
      <c r="AE964" s="2"/>
      <c r="AF964" s="2"/>
      <c r="AG964" s="2"/>
    </row>
    <row r="965" spans="29:33">
      <c r="AC965" s="2"/>
      <c r="AD965" s="2"/>
      <c r="AE965" s="2"/>
      <c r="AF965" s="2"/>
      <c r="AG965" s="2"/>
    </row>
    <row r="966" spans="29:33">
      <c r="AC966" s="2"/>
      <c r="AD966" s="2"/>
      <c r="AE966" s="2"/>
      <c r="AF966" s="2"/>
      <c r="AG966" s="2"/>
    </row>
    <row r="967" spans="29:33">
      <c r="AC967" s="2"/>
      <c r="AD967" s="2"/>
      <c r="AE967" s="2"/>
      <c r="AF967" s="2"/>
      <c r="AG967" s="2"/>
    </row>
    <row r="968" spans="29:33">
      <c r="AC968" s="2"/>
      <c r="AD968" s="2"/>
      <c r="AE968" s="2"/>
      <c r="AF968" s="2"/>
      <c r="AG968" s="2"/>
    </row>
    <row r="969" spans="29:33">
      <c r="AC969" s="2"/>
      <c r="AD969" s="2"/>
      <c r="AE969" s="2"/>
      <c r="AF969" s="2"/>
      <c r="AG969" s="2"/>
    </row>
    <row r="970" spans="29:33">
      <c r="AC970" s="2"/>
      <c r="AD970" s="2"/>
      <c r="AE970" s="2"/>
      <c r="AF970" s="2"/>
      <c r="AG970" s="2"/>
    </row>
    <row r="971" spans="29:33">
      <c r="AC971" s="2"/>
      <c r="AD971" s="2"/>
      <c r="AE971" s="2"/>
      <c r="AF971" s="2"/>
      <c r="AG971" s="2"/>
    </row>
    <row r="972" spans="29:33">
      <c r="AC972" s="2"/>
      <c r="AD972" s="2"/>
      <c r="AE972" s="2"/>
      <c r="AF972" s="2"/>
      <c r="AG972" s="2"/>
    </row>
    <row r="973" spans="29:33">
      <c r="AC973" s="2"/>
      <c r="AD973" s="2"/>
      <c r="AE973" s="2"/>
      <c r="AF973" s="2"/>
      <c r="AG973" s="2"/>
    </row>
    <row r="974" spans="29:33">
      <c r="AC974" s="2"/>
      <c r="AD974" s="2"/>
      <c r="AE974" s="2"/>
      <c r="AF974" s="2"/>
      <c r="AG974" s="2"/>
    </row>
    <row r="975" spans="29:33">
      <c r="AC975" s="2"/>
      <c r="AD975" s="2"/>
      <c r="AE975" s="2"/>
      <c r="AF975" s="2"/>
      <c r="AG975" s="2"/>
    </row>
    <row r="976" spans="29:33">
      <c r="AC976" s="2"/>
      <c r="AD976" s="2"/>
      <c r="AE976" s="2"/>
      <c r="AF976" s="2"/>
      <c r="AG976" s="2"/>
    </row>
    <row r="977" spans="29:33">
      <c r="AC977" s="2"/>
      <c r="AD977" s="2"/>
      <c r="AE977" s="2"/>
      <c r="AF977" s="2"/>
      <c r="AG977" s="2"/>
    </row>
    <row r="978" spans="29:33">
      <c r="AC978" s="2"/>
      <c r="AD978" s="2"/>
      <c r="AE978" s="2"/>
      <c r="AF978" s="2"/>
      <c r="AG978" s="2"/>
    </row>
    <row r="979" spans="29:33">
      <c r="AC979" s="2"/>
      <c r="AD979" s="2"/>
      <c r="AE979" s="2"/>
      <c r="AF979" s="2"/>
      <c r="AG979" s="2"/>
    </row>
    <row r="980" spans="29:33">
      <c r="AC980" s="2"/>
      <c r="AD980" s="2"/>
      <c r="AE980" s="2"/>
      <c r="AF980" s="2"/>
      <c r="AG980" s="2"/>
    </row>
    <row r="981" spans="29:33">
      <c r="AC981" s="2"/>
      <c r="AD981" s="2"/>
      <c r="AE981" s="2"/>
      <c r="AF981" s="2"/>
      <c r="AG981" s="2"/>
    </row>
    <row r="982" spans="29:33">
      <c r="AC982" s="2"/>
      <c r="AD982" s="2"/>
      <c r="AE982" s="2"/>
      <c r="AF982" s="2"/>
      <c r="AG982" s="2"/>
    </row>
    <row r="983" spans="29:33">
      <c r="AC983" s="2"/>
      <c r="AD983" s="2"/>
      <c r="AE983" s="2"/>
      <c r="AF983" s="2"/>
      <c r="AG983" s="2"/>
    </row>
    <row r="984" spans="29:33">
      <c r="AC984" s="2"/>
      <c r="AD984" s="2"/>
      <c r="AE984" s="2"/>
      <c r="AF984" s="2"/>
      <c r="AG984" s="2"/>
    </row>
    <row r="985" spans="29:33">
      <c r="AC985" s="2"/>
      <c r="AD985" s="2"/>
      <c r="AE985" s="2"/>
      <c r="AF985" s="2"/>
      <c r="AG985" s="2"/>
    </row>
    <row r="986" spans="29:33">
      <c r="AC986" s="2"/>
      <c r="AD986" s="2"/>
      <c r="AE986" s="2"/>
      <c r="AF986" s="2"/>
      <c r="AG986" s="2"/>
    </row>
    <row r="987" spans="29:33">
      <c r="AC987" s="2"/>
      <c r="AD987" s="2"/>
      <c r="AE987" s="2"/>
      <c r="AF987" s="2"/>
      <c r="AG987" s="2"/>
    </row>
    <row r="988" spans="29:33">
      <c r="AC988" s="2"/>
      <c r="AD988" s="2"/>
      <c r="AE988" s="2"/>
      <c r="AF988" s="2"/>
      <c r="AG988" s="2"/>
    </row>
    <row r="989" spans="29:33">
      <c r="AC989" s="2"/>
      <c r="AD989" s="2"/>
      <c r="AE989" s="2"/>
      <c r="AF989" s="2"/>
      <c r="AG989" s="2"/>
    </row>
    <row r="990" spans="29:33">
      <c r="AC990" s="2"/>
      <c r="AD990" s="2"/>
      <c r="AE990" s="2"/>
      <c r="AF990" s="2"/>
      <c r="AG990" s="2"/>
    </row>
    <row r="991" spans="29:33">
      <c r="AC991" s="2"/>
      <c r="AD991" s="2"/>
      <c r="AE991" s="2"/>
      <c r="AF991" s="2"/>
      <c r="AG991" s="2"/>
    </row>
    <row r="992" spans="29:33">
      <c r="AC992" s="2"/>
      <c r="AD992" s="2"/>
      <c r="AE992" s="2"/>
      <c r="AF992" s="2"/>
      <c r="AG992" s="2"/>
    </row>
    <row r="993" spans="29:33">
      <c r="AC993" s="2"/>
      <c r="AD993" s="2"/>
      <c r="AE993" s="2"/>
      <c r="AF993" s="2"/>
      <c r="AG993" s="2"/>
    </row>
    <row r="994" spans="29:33">
      <c r="AC994" s="2"/>
      <c r="AD994" s="2"/>
      <c r="AE994" s="2"/>
      <c r="AF994" s="2"/>
      <c r="AG994" s="2"/>
    </row>
    <row r="995" spans="29:33">
      <c r="AC995" s="2"/>
      <c r="AD995" s="2"/>
      <c r="AE995" s="2"/>
      <c r="AF995" s="2"/>
      <c r="AG995" s="2"/>
    </row>
    <row r="996" spans="29:33">
      <c r="AC996" s="2"/>
      <c r="AD996" s="2"/>
      <c r="AE996" s="2"/>
      <c r="AF996" s="2"/>
      <c r="AG996" s="2"/>
    </row>
    <row r="997" spans="29:33">
      <c r="AC997" s="2"/>
      <c r="AD997" s="2"/>
      <c r="AE997" s="2"/>
      <c r="AF997" s="2"/>
      <c r="AG997" s="2"/>
    </row>
    <row r="998" spans="29:33">
      <c r="AC998" s="2"/>
      <c r="AD998" s="2"/>
      <c r="AE998" s="2"/>
      <c r="AF998" s="2"/>
      <c r="AG998" s="2"/>
    </row>
    <row r="999" spans="29:33">
      <c r="AC999" s="2"/>
      <c r="AD999" s="2"/>
      <c r="AE999" s="2"/>
      <c r="AF999" s="2"/>
      <c r="AG999" s="2"/>
    </row>
    <row r="1000" spans="29:33">
      <c r="AC1000" s="2"/>
      <c r="AD1000" s="2"/>
      <c r="AE1000" s="2"/>
      <c r="AF1000" s="2"/>
      <c r="AG1000" s="2"/>
    </row>
    <row r="1001" spans="29:33">
      <c r="AC1001" s="2"/>
      <c r="AD1001" s="2"/>
      <c r="AE1001" s="2"/>
      <c r="AF1001" s="2"/>
      <c r="AG1001" s="2"/>
    </row>
    <row r="1002" spans="29:33">
      <c r="AC1002" s="2"/>
      <c r="AD1002" s="2"/>
      <c r="AE1002" s="2"/>
      <c r="AF1002" s="2"/>
      <c r="AG1002" s="2"/>
    </row>
    <row r="1003" spans="29:33">
      <c r="AC1003" s="2"/>
      <c r="AD1003" s="2"/>
      <c r="AE1003" s="2"/>
      <c r="AF1003" s="2"/>
      <c r="AG1003" s="2"/>
    </row>
    <row r="1004" spans="29:33">
      <c r="AC1004" s="2"/>
      <c r="AD1004" s="2"/>
      <c r="AE1004" s="2"/>
      <c r="AF1004" s="2"/>
      <c r="AG1004" s="2"/>
    </row>
    <row r="1005" spans="29:33">
      <c r="AC1005" s="2"/>
      <c r="AD1005" s="2"/>
      <c r="AE1005" s="2"/>
      <c r="AF1005" s="2"/>
      <c r="AG1005" s="2"/>
    </row>
    <row r="1006" spans="29:33">
      <c r="AC1006" s="2"/>
      <c r="AD1006" s="2"/>
      <c r="AE1006" s="2"/>
      <c r="AF1006" s="2"/>
      <c r="AG1006" s="2"/>
    </row>
    <row r="1007" spans="29:33">
      <c r="AC1007" s="2"/>
      <c r="AD1007" s="2"/>
      <c r="AE1007" s="2"/>
      <c r="AF1007" s="2"/>
      <c r="AG1007" s="2"/>
    </row>
    <row r="1008" spans="29:33">
      <c r="AC1008" s="2"/>
      <c r="AD1008" s="2"/>
      <c r="AE1008" s="2"/>
      <c r="AF1008" s="2"/>
      <c r="AG1008" s="2"/>
    </row>
    <row r="1009" spans="29:33">
      <c r="AC1009" s="2"/>
      <c r="AD1009" s="2"/>
      <c r="AE1009" s="2"/>
      <c r="AF1009" s="2"/>
      <c r="AG1009" s="2"/>
    </row>
    <row r="1010" spans="29:33">
      <c r="AC1010" s="2"/>
      <c r="AD1010" s="2"/>
      <c r="AE1010" s="2"/>
      <c r="AF1010" s="2"/>
      <c r="AG1010" s="2"/>
    </row>
    <row r="1011" spans="29:33">
      <c r="AC1011" s="2"/>
      <c r="AD1011" s="2"/>
      <c r="AE1011" s="2"/>
      <c r="AF1011" s="2"/>
      <c r="AG1011" s="2"/>
    </row>
    <row r="1012" spans="29:33">
      <c r="AC1012" s="2"/>
      <c r="AD1012" s="2"/>
      <c r="AE1012" s="2"/>
      <c r="AF1012" s="2"/>
      <c r="AG1012" s="2"/>
    </row>
    <row r="1013" spans="29:33">
      <c r="AC1013" s="2"/>
      <c r="AD1013" s="2"/>
      <c r="AE1013" s="2"/>
      <c r="AF1013" s="2"/>
      <c r="AG1013" s="2"/>
    </row>
    <row r="1014" spans="29:33">
      <c r="AC1014" s="2"/>
      <c r="AD1014" s="2"/>
      <c r="AE1014" s="2"/>
      <c r="AF1014" s="2"/>
      <c r="AG1014" s="2"/>
    </row>
    <row r="1015" spans="29:33">
      <c r="AC1015" s="2"/>
      <c r="AD1015" s="2"/>
      <c r="AE1015" s="2"/>
      <c r="AF1015" s="2"/>
      <c r="AG1015" s="2"/>
    </row>
    <row r="1016" spans="29:33">
      <c r="AC1016" s="2"/>
      <c r="AD1016" s="2"/>
      <c r="AE1016" s="2"/>
      <c r="AF1016" s="2"/>
      <c r="AG1016" s="2"/>
    </row>
    <row r="1017" spans="29:33">
      <c r="AC1017" s="2"/>
      <c r="AD1017" s="2"/>
      <c r="AE1017" s="2"/>
      <c r="AF1017" s="2"/>
      <c r="AG1017" s="2"/>
    </row>
    <row r="1018" spans="29:33">
      <c r="AC1018" s="2"/>
      <c r="AD1018" s="2"/>
      <c r="AE1018" s="2"/>
      <c r="AF1018" s="2"/>
      <c r="AG1018" s="2"/>
    </row>
    <row r="1019" spans="29:33">
      <c r="AC1019" s="2"/>
      <c r="AD1019" s="2"/>
      <c r="AE1019" s="2"/>
      <c r="AF1019" s="2"/>
      <c r="AG1019" s="2"/>
    </row>
    <row r="1020" spans="29:33">
      <c r="AC1020" s="2"/>
      <c r="AD1020" s="2"/>
      <c r="AE1020" s="2"/>
      <c r="AF1020" s="2"/>
      <c r="AG1020" s="2"/>
    </row>
    <row r="1021" spans="29:33">
      <c r="AC1021" s="2"/>
      <c r="AD1021" s="2"/>
      <c r="AE1021" s="2"/>
      <c r="AF1021" s="2"/>
      <c r="AG1021" s="2"/>
    </row>
    <row r="1022" spans="29:33">
      <c r="AC1022" s="2"/>
      <c r="AD1022" s="2"/>
      <c r="AE1022" s="2"/>
      <c r="AF1022" s="2"/>
      <c r="AG1022" s="2"/>
    </row>
    <row r="1023" spans="29:33">
      <c r="AC1023" s="2"/>
      <c r="AD1023" s="2"/>
      <c r="AE1023" s="2"/>
      <c r="AF1023" s="2"/>
      <c r="AG1023" s="2"/>
    </row>
    <row r="1024" spans="29:33">
      <c r="AC1024" s="2"/>
      <c r="AD1024" s="2"/>
      <c r="AE1024" s="2"/>
      <c r="AF1024" s="2"/>
      <c r="AG1024" s="2"/>
    </row>
    <row r="1025" spans="29:33">
      <c r="AC1025" s="2"/>
      <c r="AD1025" s="2"/>
      <c r="AE1025" s="2"/>
      <c r="AF1025" s="2"/>
      <c r="AG1025" s="2"/>
    </row>
    <row r="1026" spans="29:33">
      <c r="AC1026" s="2"/>
      <c r="AD1026" s="2"/>
      <c r="AE1026" s="2"/>
      <c r="AF1026" s="2"/>
      <c r="AG1026" s="2"/>
    </row>
    <row r="1027" spans="29:33">
      <c r="AC1027" s="2"/>
      <c r="AD1027" s="2"/>
      <c r="AE1027" s="2"/>
      <c r="AF1027" s="2"/>
      <c r="AG1027" s="2"/>
    </row>
    <row r="1028" spans="29:33">
      <c r="AC1028" s="2"/>
      <c r="AD1028" s="2"/>
      <c r="AE1028" s="2"/>
      <c r="AF1028" s="2"/>
      <c r="AG1028" s="2"/>
    </row>
    <row r="1029" spans="29:33">
      <c r="AC1029" s="2"/>
      <c r="AD1029" s="2"/>
      <c r="AE1029" s="2"/>
      <c r="AF1029" s="2"/>
      <c r="AG1029" s="2"/>
    </row>
    <row r="1030" spans="29:33">
      <c r="AC1030" s="2"/>
      <c r="AD1030" s="2"/>
      <c r="AE1030" s="2"/>
      <c r="AF1030" s="2"/>
      <c r="AG1030" s="2"/>
    </row>
    <row r="1031" spans="29:33">
      <c r="AC1031" s="2"/>
      <c r="AD1031" s="2"/>
      <c r="AE1031" s="2"/>
      <c r="AF1031" s="2"/>
      <c r="AG1031" s="2"/>
    </row>
    <row r="1032" spans="29:33">
      <c r="AC1032" s="2"/>
      <c r="AD1032" s="2"/>
      <c r="AE1032" s="2"/>
      <c r="AF1032" s="2"/>
      <c r="AG1032" s="2"/>
    </row>
    <row r="1033" spans="29:33">
      <c r="AC1033" s="2"/>
      <c r="AD1033" s="2"/>
      <c r="AE1033" s="2"/>
      <c r="AF1033" s="2"/>
      <c r="AG1033" s="2"/>
    </row>
    <row r="1034" spans="29:33">
      <c r="AC1034" s="2"/>
      <c r="AD1034" s="2"/>
      <c r="AE1034" s="2"/>
      <c r="AF1034" s="2"/>
      <c r="AG1034" s="2"/>
    </row>
    <row r="1035" spans="29:33">
      <c r="AC1035" s="2"/>
      <c r="AD1035" s="2"/>
      <c r="AE1035" s="2"/>
      <c r="AF1035" s="2"/>
      <c r="AG1035" s="2"/>
    </row>
    <row r="1036" spans="29:33">
      <c r="AC1036" s="2"/>
      <c r="AD1036" s="2"/>
      <c r="AE1036" s="2"/>
      <c r="AF1036" s="2"/>
      <c r="AG1036" s="2"/>
    </row>
    <row r="1037" spans="29:33">
      <c r="AC1037" s="2"/>
      <c r="AD1037" s="2"/>
      <c r="AE1037" s="2"/>
      <c r="AF1037" s="2"/>
      <c r="AG1037" s="2"/>
    </row>
    <row r="1038" spans="29:33">
      <c r="AC1038" s="2"/>
      <c r="AD1038" s="2"/>
      <c r="AE1038" s="2"/>
      <c r="AF1038" s="2"/>
      <c r="AG1038" s="2"/>
    </row>
    <row r="1039" spans="29:33">
      <c r="AC1039" s="2"/>
      <c r="AD1039" s="2"/>
      <c r="AE1039" s="2"/>
      <c r="AF1039" s="2"/>
      <c r="AG1039" s="2"/>
    </row>
    <row r="1040" spans="29:33">
      <c r="AC1040" s="2"/>
      <c r="AD1040" s="2"/>
      <c r="AE1040" s="2"/>
      <c r="AF1040" s="2"/>
      <c r="AG1040" s="2"/>
    </row>
    <row r="1041" spans="29:33">
      <c r="AC1041" s="2"/>
      <c r="AD1041" s="2"/>
      <c r="AE1041" s="2"/>
      <c r="AF1041" s="2"/>
      <c r="AG1041" s="2"/>
    </row>
    <row r="1042" spans="29:33">
      <c r="AC1042" s="2"/>
      <c r="AD1042" s="2"/>
      <c r="AE1042" s="2"/>
      <c r="AF1042" s="2"/>
      <c r="AG1042" s="2"/>
    </row>
    <row r="1043" spans="29:33">
      <c r="AC1043" s="2"/>
      <c r="AD1043" s="2"/>
      <c r="AE1043" s="2"/>
      <c r="AF1043" s="2"/>
      <c r="AG1043" s="2"/>
    </row>
    <row r="1044" spans="29:33">
      <c r="AC1044" s="2"/>
      <c r="AD1044" s="2"/>
      <c r="AE1044" s="2"/>
      <c r="AF1044" s="2"/>
      <c r="AG1044" s="2"/>
    </row>
    <row r="1045" spans="29:33">
      <c r="AC1045" s="2"/>
      <c r="AD1045" s="2"/>
      <c r="AE1045" s="2"/>
      <c r="AF1045" s="2"/>
      <c r="AG1045" s="2"/>
    </row>
    <row r="1046" spans="29:33">
      <c r="AC1046" s="2"/>
      <c r="AD1046" s="2"/>
      <c r="AE1046" s="2"/>
      <c r="AF1046" s="2"/>
      <c r="AG1046" s="2"/>
    </row>
    <row r="1047" spans="29:33">
      <c r="AC1047" s="2"/>
      <c r="AD1047" s="2"/>
      <c r="AE1047" s="2"/>
      <c r="AF1047" s="2"/>
      <c r="AG1047" s="2"/>
    </row>
    <row r="1048" spans="29:33">
      <c r="AC1048" s="2"/>
      <c r="AD1048" s="2"/>
      <c r="AE1048" s="2"/>
      <c r="AF1048" s="2"/>
      <c r="AG1048" s="2"/>
    </row>
    <row r="1049" spans="29:33">
      <c r="AC1049" s="2"/>
      <c r="AD1049" s="2"/>
      <c r="AE1049" s="2"/>
      <c r="AF1049" s="2"/>
      <c r="AG1049" s="2"/>
    </row>
    <row r="1050" spans="29:33">
      <c r="AC1050" s="2"/>
      <c r="AD1050" s="2"/>
      <c r="AE1050" s="2"/>
      <c r="AF1050" s="2"/>
      <c r="AG1050" s="2"/>
    </row>
    <row r="1051" spans="29:33">
      <c r="AC1051" s="2"/>
      <c r="AD1051" s="2"/>
      <c r="AE1051" s="2"/>
      <c r="AF1051" s="2"/>
      <c r="AG1051" s="2"/>
    </row>
    <row r="1052" spans="29:33">
      <c r="AC1052" s="2"/>
      <c r="AD1052" s="2"/>
      <c r="AE1052" s="2"/>
      <c r="AF1052" s="2"/>
      <c r="AG1052" s="2"/>
    </row>
    <row r="1053" spans="29:33">
      <c r="AC1053" s="2"/>
      <c r="AD1053" s="2"/>
      <c r="AE1053" s="2"/>
      <c r="AF1053" s="2"/>
      <c r="AG1053" s="2"/>
    </row>
    <row r="1054" spans="29:33">
      <c r="AC1054" s="2"/>
      <c r="AD1054" s="2"/>
      <c r="AE1054" s="2"/>
      <c r="AF1054" s="2"/>
      <c r="AG1054" s="2"/>
    </row>
    <row r="1055" spans="29:33">
      <c r="AC1055" s="2"/>
      <c r="AD1055" s="2"/>
      <c r="AE1055" s="2"/>
      <c r="AF1055" s="2"/>
      <c r="AG1055" s="2"/>
    </row>
    <row r="1056" spans="29:33">
      <c r="AC1056" s="2"/>
      <c r="AD1056" s="2"/>
      <c r="AE1056" s="2"/>
      <c r="AF1056" s="2"/>
      <c r="AG1056" s="2"/>
    </row>
    <row r="1057" spans="29:33">
      <c r="AC1057" s="2"/>
      <c r="AD1057" s="2"/>
      <c r="AE1057" s="2"/>
      <c r="AF1057" s="2"/>
      <c r="AG1057" s="2"/>
    </row>
    <row r="1058" spans="29:33">
      <c r="AC1058" s="2"/>
      <c r="AD1058" s="2"/>
      <c r="AE1058" s="2"/>
      <c r="AF1058" s="2"/>
      <c r="AG1058" s="2"/>
    </row>
    <row r="1059" spans="29:33">
      <c r="AC1059" s="2"/>
      <c r="AD1059" s="2"/>
      <c r="AE1059" s="2"/>
      <c r="AF1059" s="2"/>
      <c r="AG1059" s="2"/>
    </row>
    <row r="1060" spans="29:33">
      <c r="AC1060" s="2"/>
      <c r="AD1060" s="2"/>
      <c r="AE1060" s="2"/>
      <c r="AF1060" s="2"/>
      <c r="AG1060" s="2"/>
    </row>
    <row r="1061" spans="29:33">
      <c r="AC1061" s="2"/>
      <c r="AD1061" s="2"/>
      <c r="AE1061" s="2"/>
      <c r="AF1061" s="2"/>
      <c r="AG1061" s="2"/>
    </row>
    <row r="1062" spans="29:33">
      <c r="AC1062" s="2"/>
      <c r="AD1062" s="2"/>
      <c r="AE1062" s="2"/>
      <c r="AF1062" s="2"/>
      <c r="AG1062" s="2"/>
    </row>
    <row r="1063" spans="29:33">
      <c r="AC1063" s="2"/>
      <c r="AD1063" s="2"/>
      <c r="AE1063" s="2"/>
      <c r="AF1063" s="2"/>
      <c r="AG1063" s="2"/>
    </row>
    <row r="1064" spans="29:33">
      <c r="AC1064" s="2"/>
      <c r="AD1064" s="2"/>
      <c r="AE1064" s="2"/>
      <c r="AF1064" s="2"/>
      <c r="AG1064" s="2"/>
    </row>
    <row r="1065" spans="29:33">
      <c r="AC1065" s="2"/>
      <c r="AD1065" s="2"/>
      <c r="AE1065" s="2"/>
      <c r="AF1065" s="2"/>
      <c r="AG1065" s="2"/>
    </row>
    <row r="1066" spans="29:33">
      <c r="AC1066" s="2"/>
      <c r="AD1066" s="2"/>
      <c r="AE1066" s="2"/>
      <c r="AF1066" s="2"/>
      <c r="AG1066" s="2"/>
    </row>
    <row r="1067" spans="29:33">
      <c r="AC1067" s="2"/>
      <c r="AD1067" s="2"/>
      <c r="AE1067" s="2"/>
      <c r="AF1067" s="2"/>
      <c r="AG1067" s="2"/>
    </row>
    <row r="1068" spans="29:33">
      <c r="AC1068" s="2"/>
      <c r="AD1068" s="2"/>
      <c r="AE1068" s="2"/>
      <c r="AF1068" s="2"/>
      <c r="AG1068" s="2"/>
    </row>
    <row r="1069" spans="29:33">
      <c r="AC1069" s="2"/>
      <c r="AD1069" s="2"/>
      <c r="AE1069" s="2"/>
      <c r="AF1069" s="2"/>
      <c r="AG1069" s="2"/>
    </row>
    <row r="1070" spans="29:33">
      <c r="AC1070" s="2"/>
      <c r="AD1070" s="2"/>
      <c r="AE1070" s="2"/>
      <c r="AF1070" s="2"/>
      <c r="AG1070" s="2"/>
    </row>
    <row r="1071" spans="29:33">
      <c r="AC1071" s="2"/>
      <c r="AD1071" s="2"/>
      <c r="AE1071" s="2"/>
      <c r="AF1071" s="2"/>
      <c r="AG1071" s="2"/>
    </row>
    <row r="1072" spans="29:33">
      <c r="AC1072" s="2"/>
      <c r="AD1072" s="2"/>
      <c r="AE1072" s="2"/>
      <c r="AF1072" s="2"/>
      <c r="AG1072" s="2"/>
    </row>
    <row r="1073" spans="29:33">
      <c r="AC1073" s="2"/>
      <c r="AD1073" s="2"/>
      <c r="AE1073" s="2"/>
      <c r="AF1073" s="2"/>
      <c r="AG1073" s="2"/>
    </row>
    <row r="1074" spans="29:33">
      <c r="AC1074" s="2"/>
      <c r="AD1074" s="2"/>
      <c r="AE1074" s="2"/>
      <c r="AF1074" s="2"/>
      <c r="AG1074" s="2"/>
    </row>
    <row r="1075" spans="29:33">
      <c r="AC1075" s="2"/>
      <c r="AD1075" s="2"/>
      <c r="AE1075" s="2"/>
      <c r="AF1075" s="2"/>
      <c r="AG1075" s="2"/>
    </row>
    <row r="1076" spans="29:33">
      <c r="AC1076" s="2"/>
      <c r="AD1076" s="2"/>
      <c r="AE1076" s="2"/>
      <c r="AF1076" s="2"/>
      <c r="AG1076" s="2"/>
    </row>
    <row r="1077" spans="29:33">
      <c r="AC1077" s="2"/>
      <c r="AD1077" s="2"/>
      <c r="AE1077" s="2"/>
      <c r="AF1077" s="2"/>
      <c r="AG1077" s="2"/>
    </row>
    <row r="1078" spans="29:33">
      <c r="AC1078" s="2"/>
      <c r="AD1078" s="2"/>
      <c r="AE1078" s="2"/>
      <c r="AF1078" s="2"/>
      <c r="AG1078" s="2"/>
    </row>
    <row r="1079" spans="29:33">
      <c r="AC1079" s="2"/>
      <c r="AD1079" s="2"/>
      <c r="AE1079" s="2"/>
      <c r="AF1079" s="2"/>
      <c r="AG1079" s="2"/>
    </row>
    <row r="1080" spans="29:33">
      <c r="AC1080" s="2"/>
      <c r="AD1080" s="2"/>
      <c r="AE1080" s="2"/>
      <c r="AF1080" s="2"/>
      <c r="AG1080" s="2"/>
    </row>
    <row r="1081" spans="29:33">
      <c r="AC1081" s="2"/>
      <c r="AD1081" s="2"/>
      <c r="AE1081" s="2"/>
      <c r="AF1081" s="2"/>
      <c r="AG1081" s="2"/>
    </row>
    <row r="1082" spans="29:33">
      <c r="AC1082" s="2"/>
      <c r="AD1082" s="2"/>
      <c r="AE1082" s="2"/>
      <c r="AF1082" s="2"/>
      <c r="AG1082" s="2"/>
    </row>
    <row r="1083" spans="29:33">
      <c r="AC1083" s="2"/>
      <c r="AD1083" s="2"/>
      <c r="AE1083" s="2"/>
      <c r="AF1083" s="2"/>
      <c r="AG1083" s="2"/>
    </row>
    <row r="1084" spans="29:33">
      <c r="AC1084" s="2"/>
      <c r="AD1084" s="2"/>
      <c r="AE1084" s="2"/>
      <c r="AF1084" s="2"/>
      <c r="AG1084" s="2"/>
    </row>
    <row r="1085" spans="29:33">
      <c r="AC1085" s="2"/>
      <c r="AD1085" s="2"/>
      <c r="AE1085" s="2"/>
      <c r="AF1085" s="2"/>
      <c r="AG1085" s="2"/>
    </row>
    <row r="1086" spans="29:33">
      <c r="AC1086" s="2"/>
      <c r="AD1086" s="2"/>
      <c r="AE1086" s="2"/>
      <c r="AF1086" s="2"/>
      <c r="AG1086" s="2"/>
    </row>
    <row r="1087" spans="29:33">
      <c r="AC1087" s="2"/>
      <c r="AD1087" s="2"/>
      <c r="AE1087" s="2"/>
      <c r="AF1087" s="2"/>
      <c r="AG1087" s="2"/>
    </row>
    <row r="1088" spans="29:33">
      <c r="AC1088" s="2"/>
      <c r="AD1088" s="2"/>
      <c r="AE1088" s="2"/>
      <c r="AF1088" s="2"/>
      <c r="AG1088" s="2"/>
    </row>
    <row r="1089" spans="29:33">
      <c r="AC1089" s="2"/>
      <c r="AD1089" s="2"/>
      <c r="AE1089" s="2"/>
      <c r="AF1089" s="2"/>
      <c r="AG1089" s="2"/>
    </row>
    <row r="1090" spans="29:33">
      <c r="AC1090" s="2"/>
      <c r="AD1090" s="2"/>
      <c r="AE1090" s="2"/>
      <c r="AF1090" s="2"/>
      <c r="AG1090" s="2"/>
    </row>
    <row r="1091" spans="29:33">
      <c r="AC1091" s="2"/>
      <c r="AD1091" s="2"/>
      <c r="AE1091" s="2"/>
      <c r="AF1091" s="2"/>
      <c r="AG1091" s="2"/>
    </row>
    <row r="1092" spans="29:33">
      <c r="AC1092" s="2"/>
      <c r="AD1092" s="2"/>
      <c r="AE1092" s="2"/>
      <c r="AF1092" s="2"/>
      <c r="AG1092" s="2"/>
    </row>
    <row r="1093" spans="29:33">
      <c r="AC1093" s="2"/>
      <c r="AD1093" s="2"/>
      <c r="AE1093" s="2"/>
      <c r="AF1093" s="2"/>
      <c r="AG1093" s="2"/>
    </row>
    <row r="1094" spans="29:33">
      <c r="AC1094" s="2"/>
      <c r="AD1094" s="2"/>
      <c r="AE1094" s="2"/>
      <c r="AF1094" s="2"/>
      <c r="AG1094" s="2"/>
    </row>
    <row r="1095" spans="29:33">
      <c r="AC1095" s="2"/>
      <c r="AD1095" s="2"/>
      <c r="AE1095" s="2"/>
      <c r="AF1095" s="2"/>
      <c r="AG1095" s="2"/>
    </row>
    <row r="1096" spans="29:33">
      <c r="AC1096" s="2"/>
      <c r="AD1096" s="2"/>
      <c r="AE1096" s="2"/>
      <c r="AF1096" s="2"/>
      <c r="AG1096" s="2"/>
    </row>
    <row r="1097" spans="29:33">
      <c r="AC1097" s="2"/>
      <c r="AD1097" s="2"/>
      <c r="AE1097" s="2"/>
      <c r="AF1097" s="2"/>
      <c r="AG1097" s="2"/>
    </row>
    <row r="1098" spans="29:33">
      <c r="AC1098" s="2"/>
      <c r="AD1098" s="2"/>
      <c r="AE1098" s="2"/>
      <c r="AF1098" s="2"/>
      <c r="AG1098" s="2"/>
    </row>
    <row r="1099" spans="29:33">
      <c r="AC1099" s="2"/>
      <c r="AD1099" s="2"/>
      <c r="AE1099" s="2"/>
      <c r="AF1099" s="2"/>
      <c r="AG1099" s="2"/>
    </row>
    <row r="1100" spans="29:33">
      <c r="AC1100" s="2"/>
      <c r="AD1100" s="2"/>
      <c r="AE1100" s="2"/>
      <c r="AF1100" s="2"/>
      <c r="AG1100" s="2"/>
    </row>
    <row r="1101" spans="29:33">
      <c r="AC1101" s="2"/>
      <c r="AD1101" s="2"/>
      <c r="AE1101" s="2"/>
      <c r="AF1101" s="2"/>
      <c r="AG1101" s="2"/>
    </row>
    <row r="1102" spans="29:33">
      <c r="AC1102" s="2"/>
      <c r="AD1102" s="2"/>
      <c r="AE1102" s="2"/>
      <c r="AF1102" s="2"/>
      <c r="AG1102" s="2"/>
    </row>
    <row r="1103" spans="29:33">
      <c r="AC1103" s="2"/>
      <c r="AD1103" s="2"/>
      <c r="AE1103" s="2"/>
      <c r="AF1103" s="2"/>
      <c r="AG1103" s="2"/>
    </row>
    <row r="1104" spans="29:33">
      <c r="AC1104" s="2"/>
      <c r="AD1104" s="2"/>
      <c r="AE1104" s="2"/>
      <c r="AF1104" s="2"/>
      <c r="AG1104" s="2"/>
    </row>
    <row r="1105" spans="29:33">
      <c r="AC1105" s="2"/>
      <c r="AD1105" s="2"/>
      <c r="AE1105" s="2"/>
      <c r="AF1105" s="2"/>
      <c r="AG1105" s="2"/>
    </row>
    <row r="1106" spans="29:33">
      <c r="AC1106" s="2"/>
      <c r="AD1106" s="2"/>
      <c r="AE1106" s="2"/>
      <c r="AF1106" s="2"/>
      <c r="AG1106" s="2"/>
    </row>
    <row r="1107" spans="29:33">
      <c r="AC1107" s="2"/>
      <c r="AD1107" s="2"/>
      <c r="AE1107" s="2"/>
      <c r="AF1107" s="2"/>
      <c r="AG1107" s="2"/>
    </row>
    <row r="1108" spans="29:33">
      <c r="AC1108" s="2"/>
      <c r="AD1108" s="2"/>
      <c r="AE1108" s="2"/>
      <c r="AF1108" s="2"/>
      <c r="AG1108" s="2"/>
    </row>
    <row r="1109" spans="29:33">
      <c r="AC1109" s="2"/>
      <c r="AD1109" s="2"/>
      <c r="AE1109" s="2"/>
      <c r="AF1109" s="2"/>
      <c r="AG1109" s="2"/>
    </row>
    <row r="1110" spans="29:33">
      <c r="AC1110" s="2"/>
      <c r="AD1110" s="2"/>
      <c r="AE1110" s="2"/>
      <c r="AF1110" s="2"/>
      <c r="AG1110" s="2"/>
    </row>
    <row r="1111" spans="29:33">
      <c r="AC1111" s="2"/>
      <c r="AD1111" s="2"/>
      <c r="AE1111" s="2"/>
      <c r="AF1111" s="2"/>
      <c r="AG1111" s="2"/>
    </row>
    <row r="1112" spans="29:33">
      <c r="AC1112" s="2"/>
      <c r="AD1112" s="2"/>
      <c r="AE1112" s="2"/>
      <c r="AF1112" s="2"/>
      <c r="AG1112" s="2"/>
    </row>
    <row r="1113" spans="29:33">
      <c r="AC1113" s="2"/>
      <c r="AD1113" s="2"/>
      <c r="AE1113" s="2"/>
      <c r="AF1113" s="2"/>
      <c r="AG1113" s="2"/>
    </row>
    <row r="1114" spans="29:33">
      <c r="AC1114" s="2"/>
      <c r="AD1114" s="2"/>
      <c r="AE1114" s="2"/>
      <c r="AF1114" s="2"/>
      <c r="AG1114" s="2"/>
    </row>
    <row r="1115" spans="29:33">
      <c r="AC1115" s="2"/>
      <c r="AD1115" s="2"/>
      <c r="AE1115" s="2"/>
      <c r="AF1115" s="2"/>
      <c r="AG1115" s="2"/>
    </row>
    <row r="1116" spans="29:33">
      <c r="AC1116" s="2"/>
      <c r="AD1116" s="2"/>
      <c r="AE1116" s="2"/>
      <c r="AF1116" s="2"/>
      <c r="AG1116" s="2"/>
    </row>
    <row r="1117" spans="29:33">
      <c r="AC1117" s="2"/>
      <c r="AD1117" s="2"/>
      <c r="AE1117" s="2"/>
      <c r="AF1117" s="2"/>
      <c r="AG1117" s="2"/>
    </row>
    <row r="1118" spans="29:33">
      <c r="AC1118" s="2"/>
      <c r="AD1118" s="2"/>
      <c r="AE1118" s="2"/>
      <c r="AF1118" s="2"/>
      <c r="AG1118" s="2"/>
    </row>
    <row r="1119" spans="29:33">
      <c r="AC1119" s="2"/>
      <c r="AD1119" s="2"/>
      <c r="AE1119" s="2"/>
      <c r="AF1119" s="2"/>
      <c r="AG1119" s="2"/>
    </row>
    <row r="1120" spans="29:33">
      <c r="AC1120" s="2"/>
      <c r="AD1120" s="2"/>
      <c r="AE1120" s="2"/>
      <c r="AF1120" s="2"/>
      <c r="AG1120" s="2"/>
    </row>
    <row r="1121" spans="29:33">
      <c r="AC1121" s="2"/>
      <c r="AD1121" s="2"/>
      <c r="AE1121" s="2"/>
      <c r="AF1121" s="2"/>
      <c r="AG1121" s="2"/>
    </row>
    <row r="1122" spans="29:33">
      <c r="AC1122" s="2"/>
      <c r="AD1122" s="2"/>
      <c r="AE1122" s="2"/>
      <c r="AF1122" s="2"/>
      <c r="AG1122" s="2"/>
    </row>
    <row r="1123" spans="29:33">
      <c r="AC1123" s="2"/>
      <c r="AD1123" s="2"/>
      <c r="AE1123" s="2"/>
      <c r="AF1123" s="2"/>
      <c r="AG1123" s="2"/>
    </row>
    <row r="1124" spans="29:33">
      <c r="AC1124" s="2"/>
      <c r="AD1124" s="2"/>
      <c r="AE1124" s="2"/>
      <c r="AF1124" s="2"/>
      <c r="AG1124" s="2"/>
    </row>
    <row r="1125" spans="29:33">
      <c r="AC1125" s="2"/>
      <c r="AD1125" s="2"/>
      <c r="AE1125" s="2"/>
      <c r="AF1125" s="2"/>
      <c r="AG1125" s="2"/>
    </row>
    <row r="1126" spans="29:33">
      <c r="AC1126" s="2"/>
      <c r="AD1126" s="2"/>
      <c r="AE1126" s="2"/>
      <c r="AF1126" s="2"/>
      <c r="AG1126" s="2"/>
    </row>
    <row r="1127" spans="29:33">
      <c r="AC1127" s="2"/>
      <c r="AD1127" s="2"/>
      <c r="AE1127" s="2"/>
      <c r="AF1127" s="2"/>
      <c r="AG1127" s="2"/>
    </row>
    <row r="1128" spans="29:33">
      <c r="AC1128" s="2"/>
      <c r="AD1128" s="2"/>
      <c r="AE1128" s="2"/>
      <c r="AF1128" s="2"/>
      <c r="AG1128" s="2"/>
    </row>
    <row r="1129" spans="29:33">
      <c r="AC1129" s="2"/>
      <c r="AD1129" s="2"/>
      <c r="AE1129" s="2"/>
      <c r="AF1129" s="2"/>
      <c r="AG1129" s="2"/>
    </row>
    <row r="1130" spans="29:33">
      <c r="AC1130" s="2"/>
      <c r="AD1130" s="2"/>
      <c r="AE1130" s="2"/>
      <c r="AF1130" s="2"/>
      <c r="AG1130" s="2"/>
    </row>
    <row r="1131" spans="29:33">
      <c r="AC1131" s="2"/>
      <c r="AD1131" s="2"/>
      <c r="AE1131" s="2"/>
      <c r="AF1131" s="2"/>
      <c r="AG1131" s="2"/>
    </row>
    <row r="1132" spans="29:33">
      <c r="AC1132" s="2"/>
      <c r="AD1132" s="2"/>
      <c r="AE1132" s="2"/>
      <c r="AF1132" s="2"/>
      <c r="AG1132" s="2"/>
    </row>
    <row r="1133" spans="29:33">
      <c r="AC1133" s="2"/>
      <c r="AD1133" s="2"/>
      <c r="AE1133" s="2"/>
      <c r="AF1133" s="2"/>
      <c r="AG1133" s="2"/>
    </row>
    <row r="1134" spans="29:33">
      <c r="AC1134" s="2"/>
      <c r="AD1134" s="2"/>
      <c r="AE1134" s="2"/>
      <c r="AF1134" s="2"/>
      <c r="AG1134" s="2"/>
    </row>
    <row r="1135" spans="29:33">
      <c r="AC1135" s="2"/>
      <c r="AD1135" s="2"/>
      <c r="AE1135" s="2"/>
      <c r="AF1135" s="2"/>
      <c r="AG1135" s="2"/>
    </row>
    <row r="1136" spans="29:33">
      <c r="AC1136" s="2"/>
      <c r="AD1136" s="2"/>
      <c r="AE1136" s="2"/>
      <c r="AF1136" s="2"/>
      <c r="AG1136" s="2"/>
    </row>
    <row r="1137" spans="29:33">
      <c r="AC1137" s="2"/>
      <c r="AD1137" s="2"/>
      <c r="AE1137" s="2"/>
      <c r="AF1137" s="2"/>
      <c r="AG1137" s="2"/>
    </row>
    <row r="1138" spans="29:33">
      <c r="AC1138" s="2"/>
      <c r="AD1138" s="2"/>
      <c r="AE1138" s="2"/>
      <c r="AF1138" s="2"/>
      <c r="AG1138" s="2"/>
    </row>
    <row r="1139" spans="29:33">
      <c r="AC1139" s="2"/>
      <c r="AD1139" s="2"/>
      <c r="AE1139" s="2"/>
      <c r="AF1139" s="2"/>
      <c r="AG1139" s="2"/>
    </row>
    <row r="1140" spans="29:33">
      <c r="AC1140" s="2"/>
      <c r="AD1140" s="2"/>
      <c r="AE1140" s="2"/>
      <c r="AF1140" s="2"/>
      <c r="AG1140" s="2"/>
    </row>
    <row r="1141" spans="29:33">
      <c r="AC1141" s="2"/>
      <c r="AD1141" s="2"/>
      <c r="AE1141" s="2"/>
      <c r="AF1141" s="2"/>
      <c r="AG1141" s="2"/>
    </row>
    <row r="1142" spans="29:33">
      <c r="AC1142" s="2"/>
      <c r="AD1142" s="2"/>
      <c r="AE1142" s="2"/>
      <c r="AF1142" s="2"/>
      <c r="AG1142" s="2"/>
    </row>
    <row r="1143" spans="29:33">
      <c r="AC1143" s="2"/>
      <c r="AD1143" s="2"/>
      <c r="AE1143" s="2"/>
      <c r="AF1143" s="2"/>
      <c r="AG1143" s="2"/>
    </row>
    <row r="1144" spans="29:33">
      <c r="AC1144" s="2"/>
      <c r="AD1144" s="2"/>
      <c r="AE1144" s="2"/>
      <c r="AF1144" s="2"/>
      <c r="AG1144" s="2"/>
    </row>
    <row r="1145" spans="29:33">
      <c r="AC1145" s="2"/>
      <c r="AD1145" s="2"/>
      <c r="AE1145" s="2"/>
      <c r="AF1145" s="2"/>
      <c r="AG1145" s="2"/>
    </row>
    <row r="1146" spans="29:33">
      <c r="AC1146" s="2"/>
      <c r="AD1146" s="2"/>
      <c r="AE1146" s="2"/>
      <c r="AF1146" s="2"/>
      <c r="AG1146" s="2"/>
    </row>
    <row r="1147" spans="29:33">
      <c r="AC1147" s="2"/>
      <c r="AD1147" s="2"/>
      <c r="AE1147" s="2"/>
      <c r="AF1147" s="2"/>
      <c r="AG1147" s="2"/>
    </row>
    <row r="1148" spans="29:33">
      <c r="AC1148" s="2"/>
      <c r="AD1148" s="2"/>
      <c r="AE1148" s="2"/>
      <c r="AF1148" s="2"/>
      <c r="AG1148" s="2"/>
    </row>
    <row r="1149" spans="29:33">
      <c r="AC1149" s="2"/>
      <c r="AD1149" s="2"/>
      <c r="AE1149" s="2"/>
      <c r="AF1149" s="2"/>
      <c r="AG1149" s="2"/>
    </row>
    <row r="1150" spans="29:33">
      <c r="AC1150" s="2"/>
      <c r="AD1150" s="2"/>
      <c r="AE1150" s="2"/>
      <c r="AF1150" s="2"/>
      <c r="AG1150" s="2"/>
    </row>
    <row r="1151" spans="29:33">
      <c r="AC1151" s="2"/>
      <c r="AD1151" s="2"/>
      <c r="AE1151" s="2"/>
      <c r="AF1151" s="2"/>
      <c r="AG1151" s="2"/>
    </row>
    <row r="1152" spans="29:33">
      <c r="AC1152" s="2"/>
      <c r="AD1152" s="2"/>
      <c r="AE1152" s="2"/>
      <c r="AF1152" s="2"/>
      <c r="AG1152" s="2"/>
    </row>
    <row r="1153" spans="29:33">
      <c r="AC1153" s="2"/>
      <c r="AD1153" s="2"/>
      <c r="AE1153" s="2"/>
      <c r="AF1153" s="2"/>
      <c r="AG1153" s="2"/>
    </row>
    <row r="1154" spans="29:33">
      <c r="AC1154" s="2"/>
      <c r="AD1154" s="2"/>
      <c r="AE1154" s="2"/>
      <c r="AF1154" s="2"/>
      <c r="AG1154" s="2"/>
    </row>
    <row r="1155" spans="29:33">
      <c r="AC1155" s="2"/>
      <c r="AD1155" s="2"/>
      <c r="AE1155" s="2"/>
      <c r="AF1155" s="2"/>
      <c r="AG1155" s="2"/>
    </row>
    <row r="1156" spans="29:33">
      <c r="AC1156" s="2"/>
      <c r="AD1156" s="2"/>
      <c r="AE1156" s="2"/>
      <c r="AF1156" s="2"/>
      <c r="AG1156" s="2"/>
    </row>
    <row r="1157" spans="29:33">
      <c r="AC1157" s="2"/>
      <c r="AD1157" s="2"/>
      <c r="AE1157" s="2"/>
      <c r="AF1157" s="2"/>
      <c r="AG1157" s="2"/>
    </row>
    <row r="1158" spans="29:33">
      <c r="AC1158" s="2"/>
      <c r="AD1158" s="2"/>
      <c r="AE1158" s="2"/>
      <c r="AF1158" s="2"/>
      <c r="AG1158" s="2"/>
    </row>
    <row r="1159" spans="29:33">
      <c r="AC1159" s="2"/>
      <c r="AD1159" s="2"/>
      <c r="AE1159" s="2"/>
      <c r="AF1159" s="2"/>
      <c r="AG1159" s="2"/>
    </row>
    <row r="1160" spans="29:33">
      <c r="AC1160" s="2"/>
      <c r="AD1160" s="2"/>
      <c r="AE1160" s="2"/>
      <c r="AF1160" s="2"/>
      <c r="AG1160" s="2"/>
    </row>
    <row r="1161" spans="29:33">
      <c r="AC1161" s="2"/>
      <c r="AD1161" s="2"/>
      <c r="AE1161" s="2"/>
      <c r="AF1161" s="2"/>
      <c r="AG1161" s="2"/>
    </row>
    <row r="1162" spans="29:33">
      <c r="AC1162" s="2"/>
      <c r="AD1162" s="2"/>
      <c r="AE1162" s="2"/>
      <c r="AF1162" s="2"/>
      <c r="AG1162" s="2"/>
    </row>
    <row r="1163" spans="29:33">
      <c r="AC1163" s="2"/>
      <c r="AD1163" s="2"/>
      <c r="AE1163" s="2"/>
      <c r="AF1163" s="2"/>
      <c r="AG1163" s="2"/>
    </row>
    <row r="1164" spans="29:33">
      <c r="AC1164" s="2"/>
      <c r="AD1164" s="2"/>
      <c r="AE1164" s="2"/>
      <c r="AF1164" s="2"/>
      <c r="AG1164" s="2"/>
    </row>
    <row r="1165" spans="29:33">
      <c r="AC1165" s="2"/>
      <c r="AD1165" s="2"/>
      <c r="AE1165" s="2"/>
      <c r="AF1165" s="2"/>
      <c r="AG1165" s="2"/>
    </row>
    <row r="1166" spans="29:33">
      <c r="AC1166" s="2"/>
      <c r="AD1166" s="2"/>
      <c r="AE1166" s="2"/>
      <c r="AF1166" s="2"/>
      <c r="AG1166" s="2"/>
    </row>
    <row r="1167" spans="29:33">
      <c r="AC1167" s="2"/>
      <c r="AD1167" s="2"/>
      <c r="AE1167" s="2"/>
      <c r="AF1167" s="2"/>
      <c r="AG1167" s="2"/>
    </row>
    <row r="1168" spans="29:33">
      <c r="AC1168" s="2"/>
      <c r="AD1168" s="2"/>
      <c r="AE1168" s="2"/>
      <c r="AF1168" s="2"/>
      <c r="AG1168" s="2"/>
    </row>
    <row r="1169" spans="29:33">
      <c r="AC1169" s="2"/>
      <c r="AD1169" s="2"/>
      <c r="AE1169" s="2"/>
      <c r="AF1169" s="2"/>
      <c r="AG1169" s="2"/>
    </row>
    <row r="1170" spans="29:33">
      <c r="AC1170" s="2"/>
      <c r="AD1170" s="2"/>
      <c r="AE1170" s="2"/>
      <c r="AF1170" s="2"/>
      <c r="AG1170" s="2"/>
    </row>
    <row r="1171" spans="29:33">
      <c r="AC1171" s="2"/>
      <c r="AD1171" s="2"/>
      <c r="AE1171" s="2"/>
      <c r="AF1171" s="2"/>
      <c r="AG1171" s="2"/>
    </row>
    <row r="1172" spans="29:33">
      <c r="AC1172" s="2"/>
      <c r="AD1172" s="2"/>
      <c r="AE1172" s="2"/>
      <c r="AF1172" s="2"/>
      <c r="AG1172" s="2"/>
    </row>
    <row r="1173" spans="29:33">
      <c r="AC1173" s="2"/>
      <c r="AD1173" s="2"/>
      <c r="AE1173" s="2"/>
      <c r="AF1173" s="2"/>
      <c r="AG1173" s="2"/>
    </row>
    <row r="1174" spans="29:33">
      <c r="AC1174" s="2"/>
      <c r="AD1174" s="2"/>
      <c r="AE1174" s="2"/>
      <c r="AF1174" s="2"/>
      <c r="AG1174" s="2"/>
    </row>
    <row r="1175" spans="29:33">
      <c r="AC1175" s="2"/>
      <c r="AD1175" s="2"/>
      <c r="AE1175" s="2"/>
      <c r="AF1175" s="2"/>
      <c r="AG1175" s="2"/>
    </row>
    <row r="1176" spans="29:33">
      <c r="AC1176" s="2"/>
      <c r="AD1176" s="2"/>
      <c r="AE1176" s="2"/>
      <c r="AF1176" s="2"/>
      <c r="AG1176" s="2"/>
    </row>
    <row r="1177" spans="29:33">
      <c r="AC1177" s="2"/>
      <c r="AD1177" s="2"/>
      <c r="AE1177" s="2"/>
      <c r="AF1177" s="2"/>
      <c r="AG1177" s="2"/>
    </row>
    <row r="1178" spans="29:33">
      <c r="AC1178" s="2"/>
      <c r="AD1178" s="2"/>
      <c r="AE1178" s="2"/>
      <c r="AF1178" s="2"/>
      <c r="AG1178" s="2"/>
    </row>
    <row r="1179" spans="29:33">
      <c r="AC1179" s="2"/>
      <c r="AD1179" s="2"/>
      <c r="AE1179" s="2"/>
      <c r="AF1179" s="2"/>
      <c r="AG1179" s="2"/>
    </row>
    <row r="1180" spans="29:33">
      <c r="AC1180" s="2"/>
      <c r="AD1180" s="2"/>
      <c r="AE1180" s="2"/>
      <c r="AF1180" s="2"/>
      <c r="AG1180" s="2"/>
    </row>
    <row r="1181" spans="29:33">
      <c r="AC1181" s="2"/>
      <c r="AD1181" s="2"/>
      <c r="AE1181" s="2"/>
      <c r="AF1181" s="2"/>
      <c r="AG1181" s="2"/>
    </row>
    <row r="1182" spans="29:33">
      <c r="AC1182" s="2"/>
      <c r="AD1182" s="2"/>
      <c r="AE1182" s="2"/>
      <c r="AF1182" s="2"/>
      <c r="AG1182" s="2"/>
    </row>
    <row r="1183" spans="29:33">
      <c r="AC1183" s="2"/>
      <c r="AD1183" s="2"/>
      <c r="AE1183" s="2"/>
      <c r="AF1183" s="2"/>
      <c r="AG1183" s="2"/>
    </row>
    <row r="1184" spans="29:33">
      <c r="AC1184" s="2"/>
      <c r="AD1184" s="2"/>
      <c r="AE1184" s="2"/>
      <c r="AF1184" s="2"/>
      <c r="AG1184" s="2"/>
    </row>
    <row r="1185" spans="29:33">
      <c r="AC1185" s="2"/>
      <c r="AD1185" s="2"/>
      <c r="AE1185" s="2"/>
      <c r="AF1185" s="2"/>
      <c r="AG1185" s="2"/>
    </row>
    <row r="1186" spans="29:33">
      <c r="AC1186" s="2"/>
      <c r="AD1186" s="2"/>
      <c r="AE1186" s="2"/>
      <c r="AF1186" s="2"/>
      <c r="AG1186" s="2"/>
    </row>
    <row r="1187" spans="29:33">
      <c r="AC1187" s="2"/>
      <c r="AD1187" s="2"/>
      <c r="AE1187" s="2"/>
      <c r="AF1187" s="2"/>
      <c r="AG1187" s="2"/>
    </row>
    <row r="1188" spans="29:33">
      <c r="AC1188" s="2"/>
      <c r="AD1188" s="2"/>
      <c r="AE1188" s="2"/>
      <c r="AF1188" s="2"/>
      <c r="AG1188" s="2"/>
    </row>
    <row r="1189" spans="29:33">
      <c r="AC1189" s="2"/>
      <c r="AD1189" s="2"/>
      <c r="AE1189" s="2"/>
      <c r="AF1189" s="2"/>
      <c r="AG1189" s="2"/>
    </row>
    <row r="1190" spans="29:33">
      <c r="AC1190" s="2"/>
      <c r="AD1190" s="2"/>
      <c r="AE1190" s="2"/>
      <c r="AF1190" s="2"/>
      <c r="AG1190" s="2"/>
    </row>
    <row r="1191" spans="29:33">
      <c r="AC1191" s="2"/>
      <c r="AD1191" s="2"/>
      <c r="AE1191" s="2"/>
      <c r="AF1191" s="2"/>
      <c r="AG1191" s="2"/>
    </row>
    <row r="1192" spans="29:33">
      <c r="AC1192" s="2"/>
      <c r="AD1192" s="2"/>
      <c r="AE1192" s="2"/>
      <c r="AF1192" s="2"/>
      <c r="AG1192" s="2"/>
    </row>
    <row r="1193" spans="29:33">
      <c r="AC1193" s="2"/>
      <c r="AD1193" s="2"/>
      <c r="AE1193" s="2"/>
      <c r="AF1193" s="2"/>
      <c r="AG1193" s="2"/>
    </row>
    <row r="1194" spans="29:33">
      <c r="AC1194" s="2"/>
      <c r="AD1194" s="2"/>
      <c r="AE1194" s="2"/>
      <c r="AF1194" s="2"/>
      <c r="AG1194" s="2"/>
    </row>
    <row r="1195" spans="29:33">
      <c r="AC1195" s="2"/>
      <c r="AD1195" s="2"/>
      <c r="AE1195" s="2"/>
      <c r="AF1195" s="2"/>
      <c r="AG1195" s="2"/>
    </row>
    <row r="1196" spans="29:33">
      <c r="AC1196" s="2"/>
      <c r="AD1196" s="2"/>
      <c r="AE1196" s="2"/>
      <c r="AF1196" s="2"/>
      <c r="AG1196" s="2"/>
    </row>
    <row r="1197" spans="29:33">
      <c r="AC1197" s="2"/>
      <c r="AD1197" s="2"/>
      <c r="AE1197" s="2"/>
      <c r="AF1197" s="2"/>
      <c r="AG1197" s="2"/>
    </row>
    <row r="1198" spans="29:33">
      <c r="AC1198" s="2"/>
      <c r="AD1198" s="2"/>
      <c r="AE1198" s="2"/>
      <c r="AF1198" s="2"/>
      <c r="AG1198" s="2"/>
    </row>
    <row r="1199" spans="29:33">
      <c r="AC1199" s="2"/>
      <c r="AD1199" s="2"/>
      <c r="AE1199" s="2"/>
      <c r="AF1199" s="2"/>
      <c r="AG1199" s="2"/>
    </row>
    <row r="1200" spans="29:33">
      <c r="AC1200" s="2"/>
      <c r="AD1200" s="2"/>
      <c r="AE1200" s="2"/>
      <c r="AF1200" s="2"/>
      <c r="AG1200" s="2"/>
    </row>
    <row r="1201" spans="29:33">
      <c r="AC1201" s="2"/>
      <c r="AD1201" s="2"/>
      <c r="AE1201" s="2"/>
      <c r="AF1201" s="2"/>
      <c r="AG1201" s="2"/>
    </row>
    <row r="1202" spans="29:33">
      <c r="AC1202" s="2"/>
      <c r="AD1202" s="2"/>
      <c r="AE1202" s="2"/>
      <c r="AF1202" s="2"/>
      <c r="AG1202" s="2"/>
    </row>
    <row r="1203" spans="29:33">
      <c r="AC1203" s="2"/>
      <c r="AD1203" s="2"/>
      <c r="AE1203" s="2"/>
      <c r="AF1203" s="2"/>
      <c r="AG1203" s="2"/>
    </row>
    <row r="1204" spans="29:33">
      <c r="AC1204" s="2"/>
      <c r="AD1204" s="2"/>
      <c r="AE1204" s="2"/>
      <c r="AF1204" s="2"/>
      <c r="AG1204" s="2"/>
    </row>
    <row r="1205" spans="29:33">
      <c r="AC1205" s="2"/>
      <c r="AD1205" s="2"/>
      <c r="AE1205" s="2"/>
      <c r="AF1205" s="2"/>
      <c r="AG1205" s="2"/>
    </row>
    <row r="1206" spans="29:33">
      <c r="AC1206" s="2"/>
      <c r="AD1206" s="2"/>
      <c r="AE1206" s="2"/>
      <c r="AF1206" s="2"/>
      <c r="AG1206" s="2"/>
    </row>
    <row r="1207" spans="29:33">
      <c r="AC1207" s="2"/>
      <c r="AD1207" s="2"/>
      <c r="AE1207" s="2"/>
      <c r="AF1207" s="2"/>
      <c r="AG1207" s="2"/>
    </row>
    <row r="1208" spans="29:33">
      <c r="AC1208" s="2"/>
      <c r="AD1208" s="2"/>
      <c r="AE1208" s="2"/>
      <c r="AF1208" s="2"/>
      <c r="AG1208" s="2"/>
    </row>
    <row r="1209" spans="29:33">
      <c r="AC1209" s="2"/>
      <c r="AD1209" s="2"/>
      <c r="AE1209" s="2"/>
      <c r="AF1209" s="2"/>
      <c r="AG1209" s="2"/>
    </row>
    <row r="1210" spans="29:33">
      <c r="AC1210" s="2"/>
      <c r="AD1210" s="2"/>
      <c r="AE1210" s="2"/>
      <c r="AF1210" s="2"/>
      <c r="AG1210" s="2"/>
    </row>
    <row r="1211" spans="29:33">
      <c r="AC1211" s="2"/>
      <c r="AD1211" s="2"/>
      <c r="AE1211" s="2"/>
      <c r="AF1211" s="2"/>
      <c r="AG1211" s="2"/>
    </row>
    <row r="1212" spans="29:33">
      <c r="AC1212" s="2"/>
      <c r="AD1212" s="2"/>
      <c r="AE1212" s="2"/>
      <c r="AF1212" s="2"/>
      <c r="AG1212" s="2"/>
    </row>
    <row r="1213" spans="29:33">
      <c r="AC1213" s="2"/>
      <c r="AD1213" s="2"/>
      <c r="AE1213" s="2"/>
      <c r="AF1213" s="2"/>
      <c r="AG1213" s="2"/>
    </row>
    <row r="1214" spans="29:33">
      <c r="AC1214" s="2"/>
      <c r="AD1214" s="2"/>
      <c r="AE1214" s="2"/>
      <c r="AF1214" s="2"/>
      <c r="AG1214" s="2"/>
    </row>
    <row r="1215" spans="29:33">
      <c r="AC1215" s="2"/>
      <c r="AD1215" s="2"/>
      <c r="AE1215" s="2"/>
      <c r="AF1215" s="2"/>
      <c r="AG1215" s="2"/>
    </row>
    <row r="1216" spans="29:33">
      <c r="AC1216" s="2"/>
      <c r="AD1216" s="2"/>
      <c r="AE1216" s="2"/>
      <c r="AF1216" s="2"/>
      <c r="AG1216" s="2"/>
    </row>
    <row r="1217" spans="29:33">
      <c r="AC1217" s="2"/>
      <c r="AD1217" s="2"/>
      <c r="AE1217" s="2"/>
      <c r="AF1217" s="2"/>
      <c r="AG1217" s="2"/>
    </row>
    <row r="1218" spans="29:33">
      <c r="AC1218" s="2"/>
      <c r="AD1218" s="2"/>
      <c r="AE1218" s="2"/>
      <c r="AF1218" s="2"/>
      <c r="AG1218" s="2"/>
    </row>
    <row r="1219" spans="29:33">
      <c r="AC1219" s="2"/>
      <c r="AD1219" s="2"/>
      <c r="AE1219" s="2"/>
      <c r="AF1219" s="2"/>
      <c r="AG1219" s="2"/>
    </row>
    <row r="1220" spans="29:33">
      <c r="AC1220" s="2"/>
      <c r="AD1220" s="2"/>
      <c r="AE1220" s="2"/>
      <c r="AF1220" s="2"/>
      <c r="AG1220" s="2"/>
    </row>
    <row r="1221" spans="29:33">
      <c r="AC1221" s="2"/>
      <c r="AD1221" s="2"/>
      <c r="AE1221" s="2"/>
      <c r="AF1221" s="2"/>
      <c r="AG1221" s="2"/>
    </row>
    <row r="1222" spans="29:33">
      <c r="AC1222" s="2"/>
      <c r="AD1222" s="2"/>
      <c r="AE1222" s="2"/>
      <c r="AF1222" s="2"/>
      <c r="AG1222" s="2"/>
    </row>
    <row r="1223" spans="29:33">
      <c r="AC1223" s="2"/>
      <c r="AD1223" s="2"/>
      <c r="AE1223" s="2"/>
      <c r="AF1223" s="2"/>
      <c r="AG1223" s="2"/>
    </row>
    <row r="1224" spans="29:33">
      <c r="AC1224" s="2"/>
      <c r="AD1224" s="2"/>
      <c r="AE1224" s="2"/>
      <c r="AF1224" s="2"/>
      <c r="AG1224" s="2"/>
    </row>
    <row r="1225" spans="29:33">
      <c r="AC1225" s="2"/>
      <c r="AD1225" s="2"/>
      <c r="AE1225" s="2"/>
      <c r="AF1225" s="2"/>
      <c r="AG1225" s="2"/>
    </row>
    <row r="1226" spans="29:33">
      <c r="AC1226" s="2"/>
      <c r="AD1226" s="2"/>
      <c r="AE1226" s="2"/>
      <c r="AF1226" s="2"/>
      <c r="AG1226" s="2"/>
    </row>
    <row r="1227" spans="29:33">
      <c r="AC1227" s="2"/>
      <c r="AD1227" s="2"/>
      <c r="AE1227" s="2"/>
      <c r="AF1227" s="2"/>
      <c r="AG1227" s="2"/>
    </row>
    <row r="1228" spans="29:33">
      <c r="AC1228" s="2"/>
      <c r="AD1228" s="2"/>
      <c r="AE1228" s="2"/>
      <c r="AF1228" s="2"/>
      <c r="AG1228" s="2"/>
    </row>
    <row r="1229" spans="29:33">
      <c r="AC1229" s="2"/>
      <c r="AD1229" s="2"/>
      <c r="AE1229" s="2"/>
      <c r="AF1229" s="2"/>
      <c r="AG1229" s="2"/>
    </row>
    <row r="1230" spans="29:33">
      <c r="AC1230" s="2"/>
      <c r="AD1230" s="2"/>
      <c r="AE1230" s="2"/>
      <c r="AF1230" s="2"/>
      <c r="AG1230" s="2"/>
    </row>
    <row r="1231" spans="29:33">
      <c r="AC1231" s="2"/>
      <c r="AD1231" s="2"/>
      <c r="AE1231" s="2"/>
      <c r="AF1231" s="2"/>
      <c r="AG1231" s="2"/>
    </row>
    <row r="1232" spans="29:33">
      <c r="AC1232" s="2"/>
      <c r="AD1232" s="2"/>
      <c r="AE1232" s="2"/>
      <c r="AF1232" s="2"/>
      <c r="AG1232" s="2"/>
    </row>
    <row r="1233" spans="29:33">
      <c r="AC1233" s="2"/>
      <c r="AD1233" s="2"/>
      <c r="AE1233" s="2"/>
      <c r="AF1233" s="2"/>
      <c r="AG1233" s="2"/>
    </row>
    <row r="1234" spans="29:33">
      <c r="AC1234" s="2"/>
      <c r="AD1234" s="2"/>
      <c r="AE1234" s="2"/>
      <c r="AF1234" s="2"/>
      <c r="AG1234" s="2"/>
    </row>
    <row r="1235" spans="29:33">
      <c r="AC1235" s="2"/>
      <c r="AD1235" s="2"/>
      <c r="AE1235" s="2"/>
      <c r="AF1235" s="2"/>
      <c r="AG1235" s="2"/>
    </row>
    <row r="1236" spans="29:33">
      <c r="AC1236" s="2"/>
      <c r="AD1236" s="2"/>
      <c r="AE1236" s="2"/>
      <c r="AF1236" s="2"/>
      <c r="AG1236" s="2"/>
    </row>
    <row r="1237" spans="29:33">
      <c r="AC1237" s="2"/>
      <c r="AD1237" s="2"/>
      <c r="AE1237" s="2"/>
      <c r="AF1237" s="2"/>
      <c r="AG1237" s="2"/>
    </row>
    <row r="1238" spans="29:33">
      <c r="AC1238" s="2"/>
      <c r="AD1238" s="2"/>
      <c r="AE1238" s="2"/>
      <c r="AF1238" s="2"/>
      <c r="AG1238" s="2"/>
    </row>
    <row r="1239" spans="29:33">
      <c r="AC1239" s="2"/>
      <c r="AD1239" s="2"/>
      <c r="AE1239" s="2"/>
      <c r="AF1239" s="2"/>
      <c r="AG1239" s="2"/>
    </row>
    <row r="1240" spans="29:33">
      <c r="AC1240" s="2"/>
      <c r="AD1240" s="2"/>
      <c r="AE1240" s="2"/>
      <c r="AF1240" s="2"/>
      <c r="AG1240" s="2"/>
    </row>
    <row r="1241" spans="29:33">
      <c r="AC1241" s="2"/>
      <c r="AD1241" s="2"/>
      <c r="AE1241" s="2"/>
      <c r="AF1241" s="2"/>
      <c r="AG1241" s="2"/>
    </row>
    <row r="1242" spans="29:33">
      <c r="AC1242" s="2"/>
      <c r="AD1242" s="2"/>
      <c r="AE1242" s="2"/>
      <c r="AF1242" s="2"/>
      <c r="AG1242" s="2"/>
    </row>
    <row r="1243" spans="29:33">
      <c r="AC1243" s="2"/>
      <c r="AD1243" s="2"/>
      <c r="AE1243" s="2"/>
      <c r="AF1243" s="2"/>
      <c r="AG1243" s="2"/>
    </row>
    <row r="1244" spans="29:33">
      <c r="AC1244" s="2"/>
      <c r="AD1244" s="2"/>
      <c r="AE1244" s="2"/>
      <c r="AF1244" s="2"/>
      <c r="AG1244" s="2"/>
    </row>
    <row r="1245" spans="29:33">
      <c r="AC1245" s="2"/>
      <c r="AD1245" s="2"/>
      <c r="AE1245" s="2"/>
      <c r="AF1245" s="2"/>
      <c r="AG1245" s="2"/>
    </row>
    <row r="1246" spans="29:33">
      <c r="AC1246" s="2"/>
      <c r="AD1246" s="2"/>
      <c r="AE1246" s="2"/>
      <c r="AF1246" s="2"/>
      <c r="AG1246" s="2"/>
    </row>
    <row r="1247" spans="29:33">
      <c r="AC1247" s="2"/>
      <c r="AD1247" s="2"/>
      <c r="AE1247" s="2"/>
      <c r="AF1247" s="2"/>
      <c r="AG1247" s="2"/>
    </row>
    <row r="1248" spans="29:33">
      <c r="AC1248" s="2"/>
      <c r="AD1248" s="2"/>
      <c r="AE1248" s="2"/>
      <c r="AF1248" s="2"/>
      <c r="AG1248" s="2"/>
    </row>
    <row r="1249" spans="29:33">
      <c r="AC1249" s="2"/>
      <c r="AD1249" s="2"/>
      <c r="AE1249" s="2"/>
      <c r="AF1249" s="2"/>
      <c r="AG1249" s="2"/>
    </row>
    <row r="1250" spans="29:33">
      <c r="AC1250" s="2"/>
      <c r="AD1250" s="2"/>
      <c r="AE1250" s="2"/>
      <c r="AF1250" s="2"/>
      <c r="AG1250" s="2"/>
    </row>
    <row r="1251" spans="29:33">
      <c r="AC1251" s="2"/>
      <c r="AD1251" s="2"/>
      <c r="AE1251" s="2"/>
      <c r="AF1251" s="2"/>
      <c r="AG1251" s="2"/>
    </row>
    <row r="1252" spans="29:33">
      <c r="AC1252" s="2"/>
      <c r="AD1252" s="2"/>
      <c r="AE1252" s="2"/>
      <c r="AF1252" s="2"/>
      <c r="AG1252" s="2"/>
    </row>
    <row r="1253" spans="29:33">
      <c r="AC1253" s="2"/>
      <c r="AD1253" s="2"/>
      <c r="AE1253" s="2"/>
      <c r="AF1253" s="2"/>
      <c r="AG1253" s="2"/>
    </row>
    <row r="1254" spans="29:33">
      <c r="AC1254" s="2"/>
      <c r="AD1254" s="2"/>
      <c r="AE1254" s="2"/>
      <c r="AF1254" s="2"/>
      <c r="AG1254" s="2"/>
    </row>
    <row r="1255" spans="29:33">
      <c r="AC1255" s="2"/>
      <c r="AD1255" s="2"/>
      <c r="AE1255" s="2"/>
      <c r="AF1255" s="2"/>
      <c r="AG1255" s="2"/>
    </row>
    <row r="1256" spans="29:33">
      <c r="AC1256" s="2"/>
      <c r="AD1256" s="2"/>
      <c r="AE1256" s="2"/>
      <c r="AF1256" s="2"/>
      <c r="AG1256" s="2"/>
    </row>
    <row r="1257" spans="29:33">
      <c r="AC1257" s="2"/>
      <c r="AD1257" s="2"/>
      <c r="AE1257" s="2"/>
      <c r="AF1257" s="2"/>
      <c r="AG1257" s="2"/>
    </row>
    <row r="1258" spans="29:33">
      <c r="AC1258" s="2"/>
      <c r="AD1258" s="2"/>
      <c r="AE1258" s="2"/>
      <c r="AF1258" s="2"/>
      <c r="AG1258" s="2"/>
    </row>
    <row r="1259" spans="29:33">
      <c r="AC1259" s="2"/>
      <c r="AD1259" s="2"/>
      <c r="AE1259" s="2"/>
      <c r="AF1259" s="2"/>
      <c r="AG1259" s="2"/>
    </row>
    <row r="1260" spans="29:33">
      <c r="AC1260" s="2"/>
      <c r="AD1260" s="2"/>
      <c r="AE1260" s="2"/>
      <c r="AF1260" s="2"/>
      <c r="AG1260" s="2"/>
    </row>
    <row r="1261" spans="29:33">
      <c r="AC1261" s="2"/>
      <c r="AD1261" s="2"/>
      <c r="AE1261" s="2"/>
      <c r="AF1261" s="2"/>
      <c r="AG1261" s="2"/>
    </row>
    <row r="1262" spans="29:33">
      <c r="AC1262" s="2"/>
      <c r="AD1262" s="2"/>
      <c r="AE1262" s="2"/>
      <c r="AF1262" s="2"/>
      <c r="AG1262" s="2"/>
    </row>
    <row r="1263" spans="29:33">
      <c r="AC1263" s="2"/>
      <c r="AD1263" s="2"/>
      <c r="AE1263" s="2"/>
      <c r="AF1263" s="2"/>
      <c r="AG1263" s="2"/>
    </row>
    <row r="1264" spans="29:33">
      <c r="AC1264" s="2"/>
      <c r="AD1264" s="2"/>
      <c r="AE1264" s="2"/>
      <c r="AF1264" s="2"/>
      <c r="AG1264" s="2"/>
    </row>
    <row r="1265" spans="29:33">
      <c r="AC1265" s="2"/>
      <c r="AD1265" s="2"/>
      <c r="AE1265" s="2"/>
      <c r="AF1265" s="2"/>
      <c r="AG1265" s="2"/>
    </row>
    <row r="1266" spans="29:33">
      <c r="AC1266" s="2"/>
      <c r="AD1266" s="2"/>
      <c r="AE1266" s="2"/>
      <c r="AF1266" s="2"/>
      <c r="AG1266" s="2"/>
    </row>
    <row r="1267" spans="29:33">
      <c r="AC1267" s="2"/>
      <c r="AD1267" s="2"/>
      <c r="AE1267" s="2"/>
      <c r="AF1267" s="2"/>
      <c r="AG1267" s="2"/>
    </row>
    <row r="1268" spans="29:33">
      <c r="AC1268" s="2"/>
      <c r="AD1268" s="2"/>
      <c r="AE1268" s="2"/>
      <c r="AF1268" s="2"/>
      <c r="AG1268" s="2"/>
    </row>
    <row r="1269" spans="29:33">
      <c r="AC1269" s="2"/>
      <c r="AD1269" s="2"/>
      <c r="AE1269" s="2"/>
      <c r="AF1269" s="2"/>
      <c r="AG1269" s="2"/>
    </row>
    <row r="1270" spans="29:33">
      <c r="AC1270" s="2"/>
      <c r="AD1270" s="2"/>
      <c r="AE1270" s="2"/>
      <c r="AF1270" s="2"/>
      <c r="AG1270" s="2"/>
    </row>
    <row r="1271" spans="29:33">
      <c r="AC1271" s="2"/>
      <c r="AD1271" s="2"/>
      <c r="AE1271" s="2"/>
      <c r="AF1271" s="2"/>
      <c r="AG1271" s="2"/>
    </row>
    <row r="1272" spans="29:33">
      <c r="AC1272" s="2"/>
      <c r="AD1272" s="2"/>
      <c r="AE1272" s="2"/>
      <c r="AF1272" s="2"/>
      <c r="AG1272" s="2"/>
    </row>
    <row r="1273" spans="29:33">
      <c r="AC1273" s="2"/>
      <c r="AD1273" s="2"/>
      <c r="AE1273" s="2"/>
      <c r="AF1273" s="2"/>
      <c r="AG1273" s="2"/>
    </row>
    <row r="1274" spans="29:33">
      <c r="AC1274" s="2"/>
      <c r="AD1274" s="2"/>
      <c r="AE1274" s="2"/>
      <c r="AF1274" s="2"/>
      <c r="AG1274" s="2"/>
    </row>
    <row r="1275" spans="29:33">
      <c r="AC1275" s="2"/>
      <c r="AD1275" s="2"/>
      <c r="AE1275" s="2"/>
      <c r="AF1275" s="2"/>
      <c r="AG1275" s="2"/>
    </row>
    <row r="1276" spans="29:33">
      <c r="AC1276" s="2"/>
      <c r="AD1276" s="2"/>
      <c r="AE1276" s="2"/>
      <c r="AF1276" s="2"/>
      <c r="AG1276" s="2"/>
    </row>
    <row r="1277" spans="29:33">
      <c r="AC1277" s="2"/>
      <c r="AD1277" s="2"/>
      <c r="AE1277" s="2"/>
      <c r="AF1277" s="2"/>
      <c r="AG1277" s="2"/>
    </row>
    <row r="1278" spans="29:33">
      <c r="AC1278" s="2"/>
      <c r="AD1278" s="2"/>
      <c r="AE1278" s="2"/>
      <c r="AF1278" s="2"/>
      <c r="AG1278" s="2"/>
    </row>
    <row r="1279" spans="29:33">
      <c r="AC1279" s="2"/>
      <c r="AD1279" s="2"/>
      <c r="AE1279" s="2"/>
      <c r="AF1279" s="2"/>
      <c r="AG1279" s="2"/>
    </row>
    <row r="1280" spans="29:33">
      <c r="AC1280" s="2"/>
      <c r="AD1280" s="2"/>
      <c r="AE1280" s="2"/>
      <c r="AF1280" s="2"/>
      <c r="AG1280" s="2"/>
    </row>
    <row r="1281" spans="29:33">
      <c r="AC1281" s="2"/>
      <c r="AD1281" s="2"/>
      <c r="AE1281" s="2"/>
      <c r="AF1281" s="2"/>
      <c r="AG1281" s="2"/>
    </row>
    <row r="1282" spans="29:33">
      <c r="AC1282" s="2"/>
      <c r="AD1282" s="2"/>
      <c r="AE1282" s="2"/>
      <c r="AF1282" s="2"/>
      <c r="AG1282" s="2"/>
    </row>
    <row r="1283" spans="29:33">
      <c r="AC1283" s="2"/>
      <c r="AD1283" s="2"/>
      <c r="AE1283" s="2"/>
      <c r="AF1283" s="2"/>
      <c r="AG1283" s="2"/>
    </row>
    <row r="1284" spans="29:33">
      <c r="AC1284" s="2"/>
      <c r="AD1284" s="2"/>
      <c r="AE1284" s="2"/>
      <c r="AF1284" s="2"/>
      <c r="AG1284" s="2"/>
    </row>
    <row r="1285" spans="29:33">
      <c r="AC1285" s="2"/>
      <c r="AD1285" s="2"/>
      <c r="AE1285" s="2"/>
      <c r="AF1285" s="2"/>
      <c r="AG1285" s="2"/>
    </row>
    <row r="1286" spans="29:33">
      <c r="AC1286" s="2"/>
      <c r="AD1286" s="2"/>
      <c r="AE1286" s="2"/>
      <c r="AF1286" s="2"/>
      <c r="AG1286" s="2"/>
    </row>
    <row r="1287" spans="29:33">
      <c r="AC1287" s="2"/>
      <c r="AD1287" s="2"/>
      <c r="AE1287" s="2"/>
      <c r="AF1287" s="2"/>
      <c r="AG1287" s="2"/>
    </row>
    <row r="1288" spans="29:33">
      <c r="AC1288" s="2"/>
      <c r="AD1288" s="2"/>
      <c r="AE1288" s="2"/>
      <c r="AF1288" s="2"/>
      <c r="AG1288" s="2"/>
    </row>
    <row r="1289" spans="29:33">
      <c r="AC1289" s="2"/>
      <c r="AD1289" s="2"/>
      <c r="AE1289" s="2"/>
      <c r="AF1289" s="2"/>
      <c r="AG1289" s="2"/>
    </row>
    <row r="1290" spans="29:33">
      <c r="AC1290" s="2"/>
      <c r="AD1290" s="2"/>
      <c r="AE1290" s="2"/>
      <c r="AF1290" s="2"/>
      <c r="AG1290" s="2"/>
    </row>
    <row r="1291" spans="29:33">
      <c r="AC1291" s="2"/>
      <c r="AD1291" s="2"/>
      <c r="AE1291" s="2"/>
      <c r="AF1291" s="2"/>
      <c r="AG1291" s="2"/>
    </row>
    <row r="1292" spans="29:33">
      <c r="AC1292" s="2"/>
      <c r="AD1292" s="2"/>
      <c r="AE1292" s="2"/>
      <c r="AF1292" s="2"/>
      <c r="AG1292" s="2"/>
    </row>
    <row r="1293" spans="29:33">
      <c r="AC1293" s="2"/>
      <c r="AD1293" s="2"/>
      <c r="AE1293" s="2"/>
      <c r="AF1293" s="2"/>
      <c r="AG1293" s="2"/>
    </row>
    <row r="1294" spans="29:33">
      <c r="AC1294" s="2"/>
      <c r="AD1294" s="2"/>
      <c r="AE1294" s="2"/>
      <c r="AF1294" s="2"/>
      <c r="AG1294" s="2"/>
    </row>
    <row r="1295" spans="29:33">
      <c r="AC1295" s="2"/>
      <c r="AD1295" s="2"/>
      <c r="AE1295" s="2"/>
      <c r="AF1295" s="2"/>
      <c r="AG1295" s="2"/>
    </row>
    <row r="1296" spans="29:33">
      <c r="AC1296" s="2"/>
      <c r="AD1296" s="2"/>
      <c r="AE1296" s="2"/>
      <c r="AF1296" s="2"/>
      <c r="AG1296" s="2"/>
    </row>
    <row r="1297" spans="29:33">
      <c r="AC1297" s="2"/>
      <c r="AD1297" s="2"/>
      <c r="AE1297" s="2"/>
      <c r="AF1297" s="2"/>
      <c r="AG1297" s="2"/>
    </row>
    <row r="1298" spans="29:33">
      <c r="AC1298" s="2"/>
      <c r="AD1298" s="2"/>
      <c r="AE1298" s="2"/>
      <c r="AF1298" s="2"/>
      <c r="AG1298" s="2"/>
    </row>
    <row r="1299" spans="29:33">
      <c r="AC1299" s="2"/>
      <c r="AD1299" s="2"/>
      <c r="AE1299" s="2"/>
      <c r="AF1299" s="2"/>
      <c r="AG1299" s="2"/>
    </row>
    <row r="1300" spans="29:33">
      <c r="AC1300" s="2"/>
      <c r="AD1300" s="2"/>
      <c r="AE1300" s="2"/>
      <c r="AF1300" s="2"/>
      <c r="AG1300" s="2"/>
    </row>
    <row r="1301" spans="29:33">
      <c r="AC1301" s="2"/>
      <c r="AD1301" s="2"/>
      <c r="AE1301" s="2"/>
      <c r="AF1301" s="2"/>
      <c r="AG1301" s="2"/>
    </row>
    <row r="1302" spans="29:33">
      <c r="AC1302" s="2"/>
      <c r="AD1302" s="2"/>
      <c r="AE1302" s="2"/>
      <c r="AF1302" s="2"/>
      <c r="AG1302" s="2"/>
    </row>
    <row r="1303" spans="29:33">
      <c r="AC1303" s="2"/>
      <c r="AD1303" s="2"/>
      <c r="AE1303" s="2"/>
      <c r="AF1303" s="2"/>
      <c r="AG1303" s="2"/>
    </row>
    <row r="1304" spans="29:33">
      <c r="AC1304" s="2"/>
      <c r="AD1304" s="2"/>
      <c r="AE1304" s="2"/>
      <c r="AF1304" s="2"/>
      <c r="AG1304" s="2"/>
    </row>
    <row r="1305" spans="29:33">
      <c r="AC1305" s="2"/>
      <c r="AD1305" s="2"/>
      <c r="AE1305" s="2"/>
      <c r="AF1305" s="2"/>
      <c r="AG1305" s="2"/>
    </row>
    <row r="1306" spans="29:33">
      <c r="AC1306" s="2"/>
      <c r="AD1306" s="2"/>
      <c r="AE1306" s="2"/>
      <c r="AF1306" s="2"/>
      <c r="AG1306" s="2"/>
    </row>
    <row r="1307" spans="29:33">
      <c r="AC1307" s="2"/>
      <c r="AD1307" s="2"/>
      <c r="AE1307" s="2"/>
      <c r="AF1307" s="2"/>
      <c r="AG1307" s="2"/>
    </row>
    <row r="1308" spans="29:33">
      <c r="AC1308" s="2"/>
      <c r="AD1308" s="2"/>
      <c r="AE1308" s="2"/>
      <c r="AF1308" s="2"/>
      <c r="AG1308" s="2"/>
    </row>
    <row r="1309" spans="29:33">
      <c r="AC1309" s="2"/>
      <c r="AD1309" s="2"/>
      <c r="AE1309" s="2"/>
      <c r="AF1309" s="2"/>
      <c r="AG1309" s="2"/>
    </row>
    <row r="1310" spans="29:33">
      <c r="AC1310" s="2"/>
      <c r="AD1310" s="2"/>
      <c r="AE1310" s="2"/>
      <c r="AF1310" s="2"/>
      <c r="AG1310" s="2"/>
    </row>
    <row r="1311" spans="29:33">
      <c r="AC1311" s="2"/>
      <c r="AD1311" s="2"/>
      <c r="AE1311" s="2"/>
      <c r="AF1311" s="2"/>
      <c r="AG1311" s="2"/>
    </row>
    <row r="1312" spans="29:33">
      <c r="AC1312" s="2"/>
      <c r="AD1312" s="2"/>
      <c r="AE1312" s="2"/>
      <c r="AF1312" s="2"/>
      <c r="AG1312" s="2"/>
    </row>
    <row r="1313" spans="29:33">
      <c r="AC1313" s="2"/>
      <c r="AD1313" s="2"/>
      <c r="AE1313" s="2"/>
      <c r="AF1313" s="2"/>
      <c r="AG1313" s="2"/>
    </row>
    <row r="1314" spans="29:33">
      <c r="AC1314" s="2"/>
      <c r="AD1314" s="2"/>
      <c r="AE1314" s="2"/>
      <c r="AF1314" s="2"/>
      <c r="AG1314" s="2"/>
    </row>
    <row r="1315" spans="29:33">
      <c r="AC1315" s="2"/>
      <c r="AD1315" s="2"/>
      <c r="AE1315" s="2"/>
      <c r="AF1315" s="2"/>
      <c r="AG1315" s="2"/>
    </row>
    <row r="1316" spans="29:33">
      <c r="AC1316" s="2"/>
      <c r="AD1316" s="2"/>
      <c r="AE1316" s="2"/>
      <c r="AF1316" s="2"/>
      <c r="AG1316" s="2"/>
    </row>
    <row r="1317" spans="29:33">
      <c r="AC1317" s="2"/>
      <c r="AD1317" s="2"/>
      <c r="AE1317" s="2"/>
      <c r="AF1317" s="2"/>
      <c r="AG1317" s="2"/>
    </row>
    <row r="1318" spans="29:33">
      <c r="AC1318" s="2"/>
      <c r="AD1318" s="2"/>
      <c r="AE1318" s="2"/>
      <c r="AF1318" s="2"/>
      <c r="AG1318" s="2"/>
    </row>
    <row r="1319" spans="29:33">
      <c r="AC1319" s="2"/>
      <c r="AD1319" s="2"/>
      <c r="AE1319" s="2"/>
      <c r="AF1319" s="2"/>
      <c r="AG1319" s="2"/>
    </row>
    <row r="1320" spans="29:33">
      <c r="AC1320" s="2"/>
      <c r="AD1320" s="2"/>
      <c r="AE1320" s="2"/>
      <c r="AF1320" s="2"/>
      <c r="AG1320" s="2"/>
    </row>
    <row r="1321" spans="29:33">
      <c r="AC1321" s="2"/>
      <c r="AD1321" s="2"/>
      <c r="AE1321" s="2"/>
      <c r="AF1321" s="2"/>
      <c r="AG1321" s="2"/>
    </row>
    <row r="1322" spans="29:33">
      <c r="AC1322" s="2"/>
      <c r="AD1322" s="2"/>
      <c r="AE1322" s="2"/>
      <c r="AF1322" s="2"/>
      <c r="AG1322" s="2"/>
    </row>
    <row r="1323" spans="29:33">
      <c r="AC1323" s="2"/>
      <c r="AD1323" s="2"/>
      <c r="AE1323" s="2"/>
      <c r="AF1323" s="2"/>
      <c r="AG1323" s="2"/>
    </row>
    <row r="1324" spans="29:33">
      <c r="AC1324" s="2"/>
      <c r="AD1324" s="2"/>
      <c r="AE1324" s="2"/>
      <c r="AF1324" s="2"/>
      <c r="AG1324" s="2"/>
    </row>
    <row r="1325" spans="29:33">
      <c r="AC1325" s="2"/>
      <c r="AD1325" s="2"/>
      <c r="AE1325" s="2"/>
      <c r="AF1325" s="2"/>
      <c r="AG1325" s="2"/>
    </row>
    <row r="1326" spans="29:33">
      <c r="AC1326" s="2"/>
      <c r="AD1326" s="2"/>
      <c r="AE1326" s="2"/>
      <c r="AF1326" s="2"/>
      <c r="AG1326" s="2"/>
    </row>
    <row r="1327" spans="29:33">
      <c r="AC1327" s="2"/>
      <c r="AD1327" s="2"/>
      <c r="AE1327" s="2"/>
      <c r="AF1327" s="2"/>
      <c r="AG1327" s="2"/>
    </row>
    <row r="1328" spans="29:33">
      <c r="AC1328" s="2"/>
      <c r="AD1328" s="2"/>
      <c r="AE1328" s="2"/>
      <c r="AF1328" s="2"/>
      <c r="AG1328" s="2"/>
    </row>
    <row r="1329" spans="29:33">
      <c r="AC1329" s="2"/>
      <c r="AD1329" s="2"/>
      <c r="AE1329" s="2"/>
      <c r="AF1329" s="2"/>
      <c r="AG1329" s="2"/>
    </row>
    <row r="1330" spans="29:33">
      <c r="AC1330" s="2"/>
      <c r="AD1330" s="2"/>
      <c r="AE1330" s="2"/>
      <c r="AF1330" s="2"/>
      <c r="AG1330" s="2"/>
    </row>
    <row r="1331" spans="29:33">
      <c r="AC1331" s="2"/>
      <c r="AD1331" s="2"/>
      <c r="AE1331" s="2"/>
      <c r="AF1331" s="2"/>
      <c r="AG1331" s="2"/>
    </row>
    <row r="1332" spans="29:33">
      <c r="AC1332" s="2"/>
      <c r="AD1332" s="2"/>
      <c r="AE1332" s="2"/>
      <c r="AF1332" s="2"/>
      <c r="AG1332" s="2"/>
    </row>
    <row r="1333" spans="29:33">
      <c r="AC1333" s="2"/>
      <c r="AD1333" s="2"/>
      <c r="AE1333" s="2"/>
      <c r="AF1333" s="2"/>
      <c r="AG1333" s="2"/>
    </row>
    <row r="1334" spans="29:33">
      <c r="AC1334" s="2"/>
      <c r="AD1334" s="2"/>
      <c r="AE1334" s="2"/>
      <c r="AF1334" s="2"/>
      <c r="AG1334" s="2"/>
    </row>
    <row r="1335" spans="29:33">
      <c r="AC1335" s="2"/>
      <c r="AD1335" s="2"/>
      <c r="AE1335" s="2"/>
      <c r="AF1335" s="2"/>
      <c r="AG1335" s="2"/>
    </row>
    <row r="1336" spans="29:33">
      <c r="AC1336" s="2"/>
      <c r="AD1336" s="2"/>
      <c r="AE1336" s="2"/>
      <c r="AF1336" s="2"/>
      <c r="AG1336" s="2"/>
    </row>
    <row r="1337" spans="29:33">
      <c r="AC1337" s="2"/>
      <c r="AD1337" s="2"/>
      <c r="AE1337" s="2"/>
      <c r="AF1337" s="2"/>
      <c r="AG1337" s="2"/>
    </row>
    <row r="1338" spans="29:33">
      <c r="AC1338" s="2"/>
      <c r="AD1338" s="2"/>
      <c r="AE1338" s="2"/>
      <c r="AF1338" s="2"/>
      <c r="AG1338" s="2"/>
    </row>
    <row r="1339" spans="29:33">
      <c r="AC1339" s="2"/>
      <c r="AD1339" s="2"/>
      <c r="AE1339" s="2"/>
      <c r="AF1339" s="2"/>
      <c r="AG1339" s="2"/>
    </row>
    <row r="1340" spans="29:33">
      <c r="AC1340" s="2"/>
      <c r="AD1340" s="2"/>
      <c r="AE1340" s="2"/>
      <c r="AF1340" s="2"/>
      <c r="AG1340" s="2"/>
    </row>
    <row r="1341" spans="29:33">
      <c r="AC1341" s="2"/>
      <c r="AD1341" s="2"/>
      <c r="AE1341" s="2"/>
      <c r="AF1341" s="2"/>
      <c r="AG1341" s="2"/>
    </row>
    <row r="1342" spans="29:33">
      <c r="AC1342" s="2"/>
      <c r="AD1342" s="2"/>
      <c r="AE1342" s="2"/>
      <c r="AF1342" s="2"/>
      <c r="AG1342" s="2"/>
    </row>
    <row r="1343" spans="29:33">
      <c r="AC1343" s="2"/>
      <c r="AD1343" s="2"/>
      <c r="AE1343" s="2"/>
      <c r="AF1343" s="2"/>
      <c r="AG1343" s="2"/>
    </row>
    <row r="1344" spans="29:33">
      <c r="AC1344" s="2"/>
      <c r="AD1344" s="2"/>
      <c r="AE1344" s="2"/>
      <c r="AF1344" s="2"/>
      <c r="AG1344" s="2"/>
    </row>
    <row r="1345" spans="29:33">
      <c r="AC1345" s="2"/>
      <c r="AD1345" s="2"/>
      <c r="AE1345" s="2"/>
      <c r="AF1345" s="2"/>
      <c r="AG1345" s="2"/>
    </row>
    <row r="1346" spans="29:33">
      <c r="AC1346" s="2"/>
      <c r="AD1346" s="2"/>
      <c r="AE1346" s="2"/>
      <c r="AF1346" s="2"/>
      <c r="AG1346" s="2"/>
    </row>
    <row r="1347" spans="29:33">
      <c r="AC1347" s="2"/>
      <c r="AD1347" s="2"/>
      <c r="AE1347" s="2"/>
      <c r="AF1347" s="2"/>
      <c r="AG1347" s="2"/>
    </row>
    <row r="1348" spans="29:33">
      <c r="AC1348" s="2"/>
      <c r="AD1348" s="2"/>
      <c r="AE1348" s="2"/>
      <c r="AF1348" s="2"/>
      <c r="AG1348" s="2"/>
    </row>
    <row r="1349" spans="29:33">
      <c r="AC1349" s="2"/>
      <c r="AD1349" s="2"/>
      <c r="AE1349" s="2"/>
      <c r="AF1349" s="2"/>
      <c r="AG1349" s="2"/>
    </row>
    <row r="1350" spans="29:33">
      <c r="AC1350" s="2"/>
      <c r="AD1350" s="2"/>
      <c r="AE1350" s="2"/>
      <c r="AF1350" s="2"/>
      <c r="AG1350" s="2"/>
    </row>
    <row r="1351" spans="29:33">
      <c r="AC1351" s="2"/>
      <c r="AD1351" s="2"/>
      <c r="AE1351" s="2"/>
      <c r="AF1351" s="2"/>
      <c r="AG1351" s="2"/>
    </row>
    <row r="1352" spans="29:33">
      <c r="AC1352" s="2"/>
      <c r="AD1352" s="2"/>
      <c r="AE1352" s="2"/>
      <c r="AF1352" s="2"/>
      <c r="AG1352" s="2"/>
    </row>
    <row r="1353" spans="29:33">
      <c r="AC1353" s="2"/>
      <c r="AD1353" s="2"/>
      <c r="AE1353" s="2"/>
      <c r="AF1353" s="2"/>
      <c r="AG1353" s="2"/>
    </row>
    <row r="1354" spans="29:33">
      <c r="AC1354" s="2"/>
      <c r="AD1354" s="2"/>
      <c r="AE1354" s="2"/>
      <c r="AF1354" s="2"/>
      <c r="AG1354" s="2"/>
    </row>
    <row r="1355" spans="29:33">
      <c r="AC1355" s="2"/>
      <c r="AD1355" s="2"/>
      <c r="AE1355" s="2"/>
      <c r="AF1355" s="2"/>
      <c r="AG1355" s="2"/>
    </row>
    <row r="1356" spans="29:33">
      <c r="AC1356" s="2"/>
      <c r="AD1356" s="2"/>
      <c r="AE1356" s="2"/>
      <c r="AF1356" s="2"/>
      <c r="AG1356" s="2"/>
    </row>
    <row r="1357" spans="29:33">
      <c r="AC1357" s="2"/>
      <c r="AD1357" s="2"/>
      <c r="AE1357" s="2"/>
      <c r="AF1357" s="2"/>
      <c r="AG1357" s="2"/>
    </row>
    <row r="1358" spans="29:33">
      <c r="AC1358" s="2"/>
      <c r="AD1358" s="2"/>
      <c r="AE1358" s="2"/>
      <c r="AF1358" s="2"/>
      <c r="AG1358" s="2"/>
    </row>
    <row r="1359" spans="29:33">
      <c r="AC1359" s="2"/>
      <c r="AD1359" s="2"/>
      <c r="AE1359" s="2"/>
      <c r="AF1359" s="2"/>
      <c r="AG1359" s="2"/>
    </row>
    <row r="1360" spans="29:33">
      <c r="AC1360" s="2"/>
      <c r="AD1360" s="2"/>
      <c r="AE1360" s="2"/>
      <c r="AF1360" s="2"/>
      <c r="AG1360" s="2"/>
    </row>
    <row r="1361" spans="29:33">
      <c r="AC1361" s="2"/>
      <c r="AD1361" s="2"/>
      <c r="AE1361" s="2"/>
      <c r="AF1361" s="2"/>
      <c r="AG1361" s="2"/>
    </row>
    <row r="1362" spans="29:33">
      <c r="AC1362" s="2"/>
      <c r="AD1362" s="2"/>
      <c r="AE1362" s="2"/>
      <c r="AF1362" s="2"/>
      <c r="AG1362" s="2"/>
    </row>
    <row r="1363" spans="29:33">
      <c r="AC1363" s="2"/>
      <c r="AD1363" s="2"/>
      <c r="AE1363" s="2"/>
      <c r="AF1363" s="2"/>
      <c r="AG1363" s="2"/>
    </row>
    <row r="1364" spans="29:33">
      <c r="AC1364" s="2"/>
      <c r="AD1364" s="2"/>
      <c r="AE1364" s="2"/>
      <c r="AF1364" s="2"/>
      <c r="AG1364" s="2"/>
    </row>
    <row r="1365" spans="29:33">
      <c r="AC1365" s="2"/>
      <c r="AD1365" s="2"/>
      <c r="AE1365" s="2"/>
      <c r="AF1365" s="2"/>
      <c r="AG1365" s="2"/>
    </row>
    <row r="1366" spans="29:33">
      <c r="AC1366" s="2"/>
      <c r="AD1366" s="2"/>
      <c r="AE1366" s="2"/>
      <c r="AF1366" s="2"/>
      <c r="AG1366" s="2"/>
    </row>
    <row r="1367" spans="29:33">
      <c r="AC1367" s="2"/>
      <c r="AD1367" s="2"/>
      <c r="AE1367" s="2"/>
      <c r="AF1367" s="2"/>
      <c r="AG1367" s="2"/>
    </row>
    <row r="1368" spans="29:33">
      <c r="AC1368" s="2"/>
      <c r="AD1368" s="2"/>
      <c r="AE1368" s="2"/>
      <c r="AF1368" s="2"/>
      <c r="AG1368" s="2"/>
    </row>
    <row r="1369" spans="29:33">
      <c r="AC1369" s="2"/>
      <c r="AD1369" s="2"/>
      <c r="AE1369" s="2"/>
      <c r="AF1369" s="2"/>
      <c r="AG1369" s="2"/>
    </row>
    <row r="1370" spans="29:33">
      <c r="AC1370" s="2"/>
      <c r="AD1370" s="2"/>
      <c r="AE1370" s="2"/>
      <c r="AF1370" s="2"/>
      <c r="AG1370" s="2"/>
    </row>
    <row r="1371" spans="29:33">
      <c r="AC1371" s="2"/>
      <c r="AD1371" s="2"/>
      <c r="AE1371" s="2"/>
      <c r="AF1371" s="2"/>
      <c r="AG1371" s="2"/>
    </row>
    <row r="1372" spans="29:33">
      <c r="AC1372" s="2"/>
      <c r="AD1372" s="2"/>
      <c r="AE1372" s="2"/>
      <c r="AF1372" s="2"/>
      <c r="AG1372" s="2"/>
    </row>
    <row r="1373" spans="29:33">
      <c r="AC1373" s="2"/>
      <c r="AD1373" s="2"/>
      <c r="AE1373" s="2"/>
      <c r="AF1373" s="2"/>
      <c r="AG1373" s="2"/>
    </row>
    <row r="1374" spans="29:33">
      <c r="AC1374" s="2"/>
      <c r="AD1374" s="2"/>
      <c r="AE1374" s="2"/>
      <c r="AF1374" s="2"/>
      <c r="AG1374" s="2"/>
    </row>
    <row r="1375" spans="29:33">
      <c r="AC1375" s="2"/>
      <c r="AD1375" s="2"/>
      <c r="AE1375" s="2"/>
      <c r="AF1375" s="2"/>
      <c r="AG1375" s="2"/>
    </row>
    <row r="1376" spans="29:33">
      <c r="AC1376" s="2"/>
      <c r="AD1376" s="2"/>
      <c r="AE1376" s="2"/>
      <c r="AF1376" s="2"/>
      <c r="AG1376" s="2"/>
    </row>
    <row r="1377" spans="29:33">
      <c r="AC1377" s="2"/>
      <c r="AD1377" s="2"/>
      <c r="AE1377" s="2"/>
      <c r="AF1377" s="2"/>
      <c r="AG1377" s="2"/>
    </row>
    <row r="1378" spans="29:33">
      <c r="AC1378" s="2"/>
      <c r="AD1378" s="2"/>
      <c r="AE1378" s="2"/>
      <c r="AF1378" s="2"/>
      <c r="AG1378" s="2"/>
    </row>
    <row r="1379" spans="29:33">
      <c r="AC1379" s="2"/>
      <c r="AD1379" s="2"/>
      <c r="AE1379" s="2"/>
      <c r="AF1379" s="2"/>
      <c r="AG1379" s="2"/>
    </row>
    <row r="1380" spans="29:33">
      <c r="AC1380" s="2"/>
      <c r="AD1380" s="2"/>
      <c r="AE1380" s="2"/>
      <c r="AF1380" s="2"/>
      <c r="AG1380" s="2"/>
    </row>
    <row r="1381" spans="29:33">
      <c r="AC1381" s="2"/>
      <c r="AD1381" s="2"/>
      <c r="AE1381" s="2"/>
      <c r="AF1381" s="2"/>
      <c r="AG1381" s="2"/>
    </row>
    <row r="1382" spans="29:33">
      <c r="AC1382" s="2"/>
      <c r="AD1382" s="2"/>
      <c r="AE1382" s="2"/>
      <c r="AF1382" s="2"/>
      <c r="AG1382" s="2"/>
    </row>
    <row r="1383" spans="29:33">
      <c r="AC1383" s="2"/>
      <c r="AD1383" s="2"/>
      <c r="AE1383" s="2"/>
      <c r="AF1383" s="2"/>
      <c r="AG1383" s="2"/>
    </row>
    <row r="1384" spans="29:33">
      <c r="AC1384" s="2"/>
      <c r="AD1384" s="2"/>
      <c r="AE1384" s="2"/>
      <c r="AF1384" s="2"/>
      <c r="AG1384" s="2"/>
    </row>
    <row r="1385" spans="29:33">
      <c r="AC1385" s="2"/>
      <c r="AD1385" s="2"/>
      <c r="AE1385" s="2"/>
      <c r="AF1385" s="2"/>
      <c r="AG1385" s="2"/>
    </row>
    <row r="1386" spans="29:33">
      <c r="AC1386" s="2"/>
      <c r="AD1386" s="2"/>
      <c r="AE1386" s="2"/>
      <c r="AF1386" s="2"/>
      <c r="AG1386" s="2"/>
    </row>
    <row r="1387" spans="29:33">
      <c r="AC1387" s="2"/>
      <c r="AD1387" s="2"/>
      <c r="AE1387" s="2"/>
      <c r="AF1387" s="2"/>
      <c r="AG1387" s="2"/>
    </row>
    <row r="1388" spans="29:33">
      <c r="AC1388" s="2"/>
      <c r="AD1388" s="2"/>
      <c r="AE1388" s="2"/>
      <c r="AF1388" s="2"/>
      <c r="AG1388" s="2"/>
    </row>
    <row r="1389" spans="29:33">
      <c r="AC1389" s="2"/>
      <c r="AD1389" s="2"/>
      <c r="AE1389" s="2"/>
      <c r="AF1389" s="2"/>
      <c r="AG1389" s="2"/>
    </row>
    <row r="1390" spans="29:33">
      <c r="AC1390" s="2"/>
      <c r="AD1390" s="2"/>
      <c r="AE1390" s="2"/>
      <c r="AF1390" s="2"/>
      <c r="AG1390" s="2"/>
    </row>
    <row r="1391" spans="29:33">
      <c r="AC1391" s="2"/>
      <c r="AD1391" s="2"/>
      <c r="AE1391" s="2"/>
      <c r="AF1391" s="2"/>
      <c r="AG1391" s="2"/>
    </row>
    <row r="1392" spans="29:33">
      <c r="AC1392" s="2"/>
      <c r="AD1392" s="2"/>
      <c r="AE1392" s="2"/>
      <c r="AF1392" s="2"/>
      <c r="AG1392" s="2"/>
    </row>
    <row r="1393" spans="29:33">
      <c r="AC1393" s="2"/>
      <c r="AD1393" s="2"/>
      <c r="AE1393" s="2"/>
      <c r="AF1393" s="2"/>
      <c r="AG1393" s="2"/>
    </row>
    <row r="1394" spans="29:33">
      <c r="AC1394" s="2"/>
      <c r="AD1394" s="2"/>
      <c r="AE1394" s="2"/>
      <c r="AF1394" s="2"/>
      <c r="AG1394" s="2"/>
    </row>
    <row r="1395" spans="29:33">
      <c r="AC1395" s="2"/>
      <c r="AD1395" s="2"/>
      <c r="AE1395" s="2"/>
      <c r="AF1395" s="2"/>
      <c r="AG1395" s="2"/>
    </row>
    <row r="1396" spans="29:33">
      <c r="AC1396" s="2"/>
      <c r="AD1396" s="2"/>
      <c r="AE1396" s="2"/>
      <c r="AF1396" s="2"/>
      <c r="AG1396" s="2"/>
    </row>
    <row r="1397" spans="29:33">
      <c r="AC1397" s="2"/>
      <c r="AD1397" s="2"/>
      <c r="AE1397" s="2"/>
      <c r="AF1397" s="2"/>
      <c r="AG1397" s="2"/>
    </row>
    <row r="1398" spans="29:33">
      <c r="AC1398" s="2"/>
      <c r="AD1398" s="2"/>
      <c r="AE1398" s="2"/>
      <c r="AF1398" s="2"/>
      <c r="AG1398" s="2"/>
    </row>
    <row r="1399" spans="29:33">
      <c r="AC1399" s="2"/>
      <c r="AD1399" s="2"/>
      <c r="AE1399" s="2"/>
      <c r="AF1399" s="2"/>
      <c r="AG1399" s="2"/>
    </row>
    <row r="1400" spans="29:33">
      <c r="AC1400" s="2"/>
      <c r="AD1400" s="2"/>
      <c r="AE1400" s="2"/>
      <c r="AF1400" s="2"/>
      <c r="AG1400" s="2"/>
    </row>
    <row r="1401" spans="29:33">
      <c r="AC1401" s="2"/>
      <c r="AD1401" s="2"/>
      <c r="AE1401" s="2"/>
      <c r="AF1401" s="2"/>
      <c r="AG1401" s="2"/>
    </row>
    <row r="1402" spans="29:33">
      <c r="AC1402" s="2"/>
      <c r="AD1402" s="2"/>
      <c r="AE1402" s="2"/>
      <c r="AF1402" s="2"/>
      <c r="AG1402" s="2"/>
    </row>
    <row r="1403" spans="29:33">
      <c r="AC1403" s="2"/>
      <c r="AD1403" s="2"/>
      <c r="AE1403" s="2"/>
      <c r="AF1403" s="2"/>
      <c r="AG1403" s="2"/>
    </row>
    <row r="1404" spans="29:33">
      <c r="AC1404" s="2"/>
      <c r="AD1404" s="2"/>
      <c r="AE1404" s="2"/>
      <c r="AF1404" s="2"/>
      <c r="AG1404" s="2"/>
    </row>
    <row r="1405" spans="29:33">
      <c r="AC1405" s="2"/>
      <c r="AD1405" s="2"/>
      <c r="AE1405" s="2"/>
      <c r="AF1405" s="2"/>
      <c r="AG1405" s="2"/>
    </row>
    <row r="1406" spans="29:33">
      <c r="AC1406" s="2"/>
      <c r="AD1406" s="2"/>
      <c r="AE1406" s="2"/>
      <c r="AF1406" s="2"/>
      <c r="AG1406" s="2"/>
    </row>
    <row r="1407" spans="29:33">
      <c r="AC1407" s="2"/>
      <c r="AD1407" s="2"/>
      <c r="AE1407" s="2"/>
      <c r="AF1407" s="2"/>
      <c r="AG1407" s="2"/>
    </row>
    <row r="1408" spans="29:33">
      <c r="AC1408" s="2"/>
      <c r="AD1408" s="2"/>
      <c r="AE1408" s="2"/>
      <c r="AF1408" s="2"/>
      <c r="AG1408" s="2"/>
    </row>
    <row r="1409" spans="29:33">
      <c r="AC1409" s="2"/>
      <c r="AD1409" s="2"/>
      <c r="AE1409" s="2"/>
      <c r="AF1409" s="2"/>
      <c r="AG1409" s="2"/>
    </row>
    <row r="1410" spans="29:33">
      <c r="AC1410" s="2"/>
      <c r="AD1410" s="2"/>
      <c r="AE1410" s="2"/>
      <c r="AF1410" s="2"/>
      <c r="AG1410" s="2"/>
    </row>
    <row r="1411" spans="29:33">
      <c r="AC1411" s="2"/>
      <c r="AD1411" s="2"/>
      <c r="AE1411" s="2"/>
      <c r="AF1411" s="2"/>
      <c r="AG1411" s="2"/>
    </row>
    <row r="1412" spans="29:33">
      <c r="AC1412" s="2"/>
      <c r="AD1412" s="2"/>
      <c r="AE1412" s="2"/>
      <c r="AF1412" s="2"/>
      <c r="AG1412" s="2"/>
    </row>
    <row r="1413" spans="29:33">
      <c r="AC1413" s="2"/>
      <c r="AD1413" s="2"/>
      <c r="AE1413" s="2"/>
      <c r="AF1413" s="2"/>
      <c r="AG1413" s="2"/>
    </row>
    <row r="1414" spans="29:33">
      <c r="AC1414" s="2"/>
      <c r="AD1414" s="2"/>
      <c r="AE1414" s="2"/>
      <c r="AF1414" s="2"/>
      <c r="AG1414" s="2"/>
    </row>
    <row r="1415" spans="29:33">
      <c r="AC1415" s="2"/>
      <c r="AD1415" s="2"/>
      <c r="AE1415" s="2"/>
      <c r="AF1415" s="2"/>
      <c r="AG1415" s="2"/>
    </row>
    <row r="1416" spans="29:33">
      <c r="AC1416" s="2"/>
      <c r="AD1416" s="2"/>
      <c r="AE1416" s="2"/>
      <c r="AF1416" s="2"/>
      <c r="AG1416" s="2"/>
    </row>
    <row r="1417" spans="29:33">
      <c r="AC1417" s="2"/>
      <c r="AD1417" s="2"/>
      <c r="AE1417" s="2"/>
      <c r="AF1417" s="2"/>
      <c r="AG1417" s="2"/>
    </row>
    <row r="1418" spans="29:33">
      <c r="AC1418" s="2"/>
      <c r="AD1418" s="2"/>
      <c r="AE1418" s="2"/>
      <c r="AF1418" s="2"/>
      <c r="AG1418" s="2"/>
    </row>
    <row r="1419" spans="29:33">
      <c r="AC1419" s="2"/>
      <c r="AD1419" s="2"/>
      <c r="AE1419" s="2"/>
      <c r="AF1419" s="2"/>
      <c r="AG1419" s="2"/>
    </row>
    <row r="1420" spans="29:33">
      <c r="AC1420" s="2"/>
      <c r="AD1420" s="2"/>
      <c r="AE1420" s="2"/>
      <c r="AF1420" s="2"/>
      <c r="AG1420" s="2"/>
    </row>
    <row r="1421" spans="29:33">
      <c r="AC1421" s="2"/>
      <c r="AD1421" s="2"/>
      <c r="AE1421" s="2"/>
      <c r="AF1421" s="2"/>
      <c r="AG1421" s="2"/>
    </row>
    <row r="1422" spans="29:33">
      <c r="AC1422" s="2"/>
      <c r="AD1422" s="2"/>
      <c r="AE1422" s="2"/>
      <c r="AF1422" s="2"/>
      <c r="AG1422" s="2"/>
    </row>
    <row r="1423" spans="29:33">
      <c r="AC1423" s="2"/>
      <c r="AD1423" s="2"/>
      <c r="AE1423" s="2"/>
      <c r="AF1423" s="2"/>
      <c r="AG1423" s="2"/>
    </row>
    <row r="1424" spans="29:33">
      <c r="AC1424" s="2"/>
      <c r="AD1424" s="2"/>
      <c r="AE1424" s="2"/>
      <c r="AF1424" s="2"/>
      <c r="AG1424" s="2"/>
    </row>
    <row r="1425" spans="29:33">
      <c r="AC1425" s="2"/>
      <c r="AD1425" s="2"/>
      <c r="AE1425" s="2"/>
      <c r="AF1425" s="2"/>
      <c r="AG1425" s="2"/>
    </row>
    <row r="1426" spans="29:33">
      <c r="AC1426" s="2"/>
      <c r="AD1426" s="2"/>
      <c r="AE1426" s="2"/>
      <c r="AF1426" s="2"/>
      <c r="AG1426" s="2"/>
    </row>
    <row r="1427" spans="29:33">
      <c r="AC1427" s="2"/>
      <c r="AD1427" s="2"/>
      <c r="AE1427" s="2"/>
      <c r="AF1427" s="2"/>
      <c r="AG1427" s="2"/>
    </row>
    <row r="1428" spans="29:33">
      <c r="AC1428" s="2"/>
      <c r="AD1428" s="2"/>
      <c r="AE1428" s="2"/>
      <c r="AF1428" s="2"/>
      <c r="AG1428" s="2"/>
    </row>
    <row r="1429" spans="29:33">
      <c r="AC1429" s="2"/>
      <c r="AD1429" s="2"/>
      <c r="AE1429" s="2"/>
      <c r="AF1429" s="2"/>
      <c r="AG1429" s="2"/>
    </row>
    <row r="1430" spans="29:33">
      <c r="AC1430" s="2"/>
      <c r="AD1430" s="2"/>
      <c r="AE1430" s="2"/>
      <c r="AF1430" s="2"/>
      <c r="AG1430" s="2"/>
    </row>
    <row r="1431" spans="29:33">
      <c r="AC1431" s="2"/>
      <c r="AD1431" s="2"/>
      <c r="AE1431" s="2"/>
      <c r="AF1431" s="2"/>
      <c r="AG1431" s="2"/>
    </row>
    <row r="1432" spans="29:33">
      <c r="AC1432" s="2"/>
      <c r="AD1432" s="2"/>
      <c r="AE1432" s="2"/>
      <c r="AF1432" s="2"/>
      <c r="AG1432" s="2"/>
    </row>
    <row r="1433" spans="29:33">
      <c r="AC1433" s="2"/>
      <c r="AD1433" s="2"/>
      <c r="AE1433" s="2"/>
      <c r="AF1433" s="2"/>
      <c r="AG1433" s="2"/>
    </row>
    <row r="1434" spans="29:33">
      <c r="AC1434" s="2"/>
      <c r="AD1434" s="2"/>
      <c r="AE1434" s="2"/>
      <c r="AF1434" s="2"/>
      <c r="AG1434" s="2"/>
    </row>
    <row r="1435" spans="29:33">
      <c r="AC1435" s="2"/>
      <c r="AD1435" s="2"/>
      <c r="AE1435" s="2"/>
      <c r="AF1435" s="2"/>
      <c r="AG1435" s="2"/>
    </row>
    <row r="1436" spans="29:33">
      <c r="AC1436" s="2"/>
      <c r="AD1436" s="2"/>
      <c r="AE1436" s="2"/>
      <c r="AF1436" s="2"/>
      <c r="AG1436" s="2"/>
    </row>
    <row r="1437" spans="29:33">
      <c r="AC1437" s="2"/>
      <c r="AD1437" s="2"/>
      <c r="AE1437" s="2"/>
      <c r="AF1437" s="2"/>
      <c r="AG1437" s="2"/>
    </row>
    <row r="1438" spans="29:33">
      <c r="AC1438" s="2"/>
      <c r="AD1438" s="2"/>
      <c r="AE1438" s="2"/>
      <c r="AF1438" s="2"/>
      <c r="AG1438" s="2"/>
    </row>
    <row r="1439" spans="29:33">
      <c r="AC1439" s="2"/>
      <c r="AD1439" s="2"/>
      <c r="AE1439" s="2"/>
      <c r="AF1439" s="2"/>
      <c r="AG1439" s="2"/>
    </row>
    <row r="1440" spans="29:33">
      <c r="AC1440" s="2"/>
      <c r="AD1440" s="2"/>
      <c r="AE1440" s="2"/>
      <c r="AF1440" s="2"/>
      <c r="AG1440" s="2"/>
    </row>
    <row r="1441" spans="29:33">
      <c r="AC1441" s="2"/>
      <c r="AD1441" s="2"/>
      <c r="AE1441" s="2"/>
      <c r="AF1441" s="2"/>
      <c r="AG1441" s="2"/>
    </row>
    <row r="1442" spans="29:33">
      <c r="AC1442" s="2"/>
      <c r="AD1442" s="2"/>
      <c r="AE1442" s="2"/>
      <c r="AF1442" s="2"/>
      <c r="AG1442" s="2"/>
    </row>
    <row r="1443" spans="29:33">
      <c r="AC1443" s="2"/>
      <c r="AD1443" s="2"/>
      <c r="AE1443" s="2"/>
      <c r="AF1443" s="2"/>
      <c r="AG1443" s="2"/>
    </row>
    <row r="1444" spans="29:33">
      <c r="AC1444" s="2"/>
      <c r="AD1444" s="2"/>
      <c r="AE1444" s="2"/>
      <c r="AF1444" s="2"/>
      <c r="AG1444" s="2"/>
    </row>
    <row r="1445" spans="29:33">
      <c r="AC1445" s="2"/>
      <c r="AD1445" s="2"/>
      <c r="AE1445" s="2"/>
      <c r="AF1445" s="2"/>
      <c r="AG1445" s="2"/>
    </row>
    <row r="1446" spans="29:33">
      <c r="AC1446" s="2"/>
      <c r="AD1446" s="2"/>
      <c r="AE1446" s="2"/>
      <c r="AF1446" s="2"/>
      <c r="AG1446" s="2"/>
    </row>
    <row r="1447" spans="29:33">
      <c r="AC1447" s="2"/>
      <c r="AD1447" s="2"/>
      <c r="AE1447" s="2"/>
      <c r="AF1447" s="2"/>
      <c r="AG1447" s="2"/>
    </row>
    <row r="1448" spans="29:33">
      <c r="AC1448" s="2"/>
      <c r="AD1448" s="2"/>
      <c r="AE1448" s="2"/>
      <c r="AF1448" s="2"/>
      <c r="AG1448" s="2"/>
    </row>
    <row r="1449" spans="29:33">
      <c r="AC1449" s="2"/>
      <c r="AD1449" s="2"/>
      <c r="AE1449" s="2"/>
      <c r="AF1449" s="2"/>
      <c r="AG1449" s="2"/>
    </row>
    <row r="1450" spans="29:33">
      <c r="AC1450" s="2"/>
      <c r="AD1450" s="2"/>
      <c r="AE1450" s="2"/>
      <c r="AF1450" s="2"/>
      <c r="AG1450" s="2"/>
    </row>
    <row r="1451" spans="29:33">
      <c r="AC1451" s="2"/>
      <c r="AD1451" s="2"/>
      <c r="AE1451" s="2"/>
      <c r="AF1451" s="2"/>
      <c r="AG1451" s="2"/>
    </row>
    <row r="1452" spans="29:33">
      <c r="AC1452" s="2"/>
      <c r="AD1452" s="2"/>
      <c r="AE1452" s="2"/>
      <c r="AF1452" s="2"/>
      <c r="AG1452" s="2"/>
    </row>
    <row r="1453" spans="29:33">
      <c r="AC1453" s="2"/>
      <c r="AD1453" s="2"/>
      <c r="AE1453" s="2"/>
      <c r="AF1453" s="2"/>
      <c r="AG1453" s="2"/>
    </row>
    <row r="1454" spans="29:33">
      <c r="AC1454" s="2"/>
      <c r="AD1454" s="2"/>
      <c r="AE1454" s="2"/>
      <c r="AF1454" s="2"/>
      <c r="AG1454" s="2"/>
    </row>
    <row r="1455" spans="29:33">
      <c r="AC1455" s="2"/>
      <c r="AD1455" s="2"/>
      <c r="AE1455" s="2"/>
      <c r="AF1455" s="2"/>
      <c r="AG1455" s="2"/>
    </row>
    <row r="1456" spans="29:33">
      <c r="AC1456" s="2"/>
      <c r="AD1456" s="2"/>
      <c r="AE1456" s="2"/>
      <c r="AF1456" s="2"/>
      <c r="AG1456" s="2"/>
    </row>
    <row r="1457" spans="29:33">
      <c r="AC1457" s="2"/>
      <c r="AD1457" s="2"/>
      <c r="AE1457" s="2"/>
      <c r="AF1457" s="2"/>
      <c r="AG1457" s="2"/>
    </row>
    <row r="1458" spans="29:33">
      <c r="AC1458" s="2"/>
      <c r="AD1458" s="2"/>
      <c r="AE1458" s="2"/>
      <c r="AF1458" s="2"/>
      <c r="AG1458" s="2"/>
    </row>
    <row r="1459" spans="29:33">
      <c r="AC1459" s="2"/>
      <c r="AD1459" s="2"/>
      <c r="AE1459" s="2"/>
      <c r="AF1459" s="2"/>
      <c r="AG1459" s="2"/>
    </row>
    <row r="1460" spans="29:33">
      <c r="AC1460" s="2"/>
      <c r="AD1460" s="2"/>
      <c r="AE1460" s="2"/>
      <c r="AF1460" s="2"/>
      <c r="AG1460" s="2"/>
    </row>
    <row r="1461" spans="29:33">
      <c r="AC1461" s="2"/>
      <c r="AD1461" s="2"/>
      <c r="AE1461" s="2"/>
      <c r="AF1461" s="2"/>
      <c r="AG1461" s="2"/>
    </row>
    <row r="1462" spans="29:33">
      <c r="AC1462" s="2"/>
      <c r="AD1462" s="2"/>
      <c r="AE1462" s="2"/>
      <c r="AF1462" s="2"/>
      <c r="AG1462" s="2"/>
    </row>
    <row r="1463" spans="29:33">
      <c r="AC1463" s="2"/>
      <c r="AD1463" s="2"/>
      <c r="AE1463" s="2"/>
      <c r="AF1463" s="2"/>
      <c r="AG1463" s="2"/>
    </row>
    <row r="1464" spans="29:33">
      <c r="AC1464" s="2"/>
      <c r="AD1464" s="2"/>
      <c r="AE1464" s="2"/>
      <c r="AF1464" s="2"/>
      <c r="AG1464" s="2"/>
    </row>
    <row r="1465" spans="29:33">
      <c r="AC1465" s="2"/>
      <c r="AD1465" s="2"/>
      <c r="AE1465" s="2"/>
      <c r="AF1465" s="2"/>
      <c r="AG1465" s="2"/>
    </row>
    <row r="1466" spans="29:33">
      <c r="AC1466" s="2"/>
      <c r="AD1466" s="2"/>
      <c r="AE1466" s="2"/>
      <c r="AF1466" s="2"/>
      <c r="AG1466" s="2"/>
    </row>
    <row r="1467" spans="29:33">
      <c r="AC1467" s="2"/>
      <c r="AD1467" s="2"/>
      <c r="AE1467" s="2"/>
      <c r="AF1467" s="2"/>
      <c r="AG1467" s="2"/>
    </row>
    <row r="1468" spans="29:33">
      <c r="AC1468" s="2"/>
      <c r="AD1468" s="2"/>
      <c r="AE1468" s="2"/>
      <c r="AF1468" s="2"/>
      <c r="AG1468" s="2"/>
    </row>
    <row r="1469" spans="29:33">
      <c r="AC1469" s="2"/>
      <c r="AD1469" s="2"/>
      <c r="AE1469" s="2"/>
      <c r="AF1469" s="2"/>
      <c r="AG1469" s="2"/>
    </row>
    <row r="1470" spans="29:33">
      <c r="AC1470" s="2"/>
      <c r="AD1470" s="2"/>
      <c r="AE1470" s="2"/>
      <c r="AF1470" s="2"/>
      <c r="AG1470" s="2"/>
    </row>
    <row r="1471" spans="29:33">
      <c r="AC1471" s="2"/>
      <c r="AD1471" s="2"/>
      <c r="AE1471" s="2"/>
      <c r="AF1471" s="2"/>
      <c r="AG1471" s="2"/>
    </row>
    <row r="1472" spans="29:33">
      <c r="AC1472" s="2"/>
      <c r="AD1472" s="2"/>
      <c r="AE1472" s="2"/>
      <c r="AF1472" s="2"/>
      <c r="AG1472" s="2"/>
    </row>
    <row r="1473" spans="29:33">
      <c r="AC1473" s="2"/>
      <c r="AD1473" s="2"/>
      <c r="AE1473" s="2"/>
      <c r="AF1473" s="2"/>
      <c r="AG1473" s="2"/>
    </row>
    <row r="1474" spans="29:33">
      <c r="AC1474" s="2"/>
      <c r="AD1474" s="2"/>
      <c r="AE1474" s="2"/>
      <c r="AF1474" s="2"/>
      <c r="AG1474" s="2"/>
    </row>
    <row r="1475" spans="29:33">
      <c r="AC1475" s="2"/>
      <c r="AD1475" s="2"/>
      <c r="AE1475" s="2"/>
      <c r="AF1475" s="2"/>
      <c r="AG1475" s="2"/>
    </row>
    <row r="1476" spans="29:33">
      <c r="AC1476" s="2"/>
      <c r="AD1476" s="2"/>
      <c r="AE1476" s="2"/>
      <c r="AF1476" s="2"/>
      <c r="AG1476" s="2"/>
    </row>
    <row r="1477" spans="29:33">
      <c r="AC1477" s="2"/>
      <c r="AD1477" s="2"/>
      <c r="AE1477" s="2"/>
      <c r="AF1477" s="2"/>
      <c r="AG1477" s="2"/>
    </row>
    <row r="1478" spans="29:33">
      <c r="AC1478" s="2"/>
      <c r="AD1478" s="2"/>
      <c r="AE1478" s="2"/>
      <c r="AF1478" s="2"/>
      <c r="AG1478" s="2"/>
    </row>
    <row r="1479" spans="29:33">
      <c r="AC1479" s="2"/>
      <c r="AD1479" s="2"/>
      <c r="AE1479" s="2"/>
      <c r="AF1479" s="2"/>
      <c r="AG1479" s="2"/>
    </row>
    <row r="1480" spans="29:33">
      <c r="AC1480" s="2"/>
      <c r="AD1480" s="2"/>
      <c r="AE1480" s="2"/>
      <c r="AF1480" s="2"/>
      <c r="AG1480" s="2"/>
    </row>
    <row r="1481" spans="29:33">
      <c r="AC1481" s="2"/>
      <c r="AD1481" s="2"/>
      <c r="AE1481" s="2"/>
      <c r="AF1481" s="2"/>
      <c r="AG1481" s="2"/>
    </row>
    <row r="1482" spans="29:33">
      <c r="AC1482" s="2"/>
      <c r="AD1482" s="2"/>
      <c r="AE1482" s="2"/>
      <c r="AF1482" s="2"/>
      <c r="AG1482" s="2"/>
    </row>
    <row r="1483" spans="29:33">
      <c r="AC1483" s="2"/>
      <c r="AD1483" s="2"/>
      <c r="AE1483" s="2"/>
      <c r="AF1483" s="2"/>
      <c r="AG1483" s="2"/>
    </row>
    <row r="1484" spans="29:33">
      <c r="AC1484" s="2"/>
      <c r="AD1484" s="2"/>
      <c r="AE1484" s="2"/>
      <c r="AF1484" s="2"/>
      <c r="AG1484" s="2"/>
    </row>
    <row r="1485" spans="29:33">
      <c r="AC1485" s="2"/>
      <c r="AD1485" s="2"/>
      <c r="AE1485" s="2"/>
      <c r="AF1485" s="2"/>
      <c r="AG1485" s="2"/>
    </row>
    <row r="1486" spans="29:33">
      <c r="AC1486" s="2"/>
      <c r="AD1486" s="2"/>
      <c r="AE1486" s="2"/>
      <c r="AF1486" s="2"/>
      <c r="AG1486" s="2"/>
    </row>
    <row r="1487" spans="29:33">
      <c r="AC1487" s="2"/>
      <c r="AD1487" s="2"/>
      <c r="AE1487" s="2"/>
      <c r="AF1487" s="2"/>
      <c r="AG1487" s="2"/>
    </row>
    <row r="1488" spans="29:33">
      <c r="AC1488" s="2"/>
      <c r="AD1488" s="2"/>
      <c r="AE1488" s="2"/>
      <c r="AF1488" s="2"/>
      <c r="AG1488" s="2"/>
    </row>
    <row r="1489" spans="29:33">
      <c r="AC1489" s="2"/>
      <c r="AD1489" s="2"/>
      <c r="AE1489" s="2"/>
      <c r="AF1489" s="2"/>
      <c r="AG1489" s="2"/>
    </row>
    <row r="1490" spans="29:33">
      <c r="AC1490" s="2"/>
      <c r="AD1490" s="2"/>
      <c r="AE1490" s="2"/>
      <c r="AF1490" s="2"/>
      <c r="AG1490" s="2"/>
    </row>
    <row r="1491" spans="29:33">
      <c r="AC1491" s="2"/>
      <c r="AD1491" s="2"/>
      <c r="AE1491" s="2"/>
      <c r="AF1491" s="2"/>
      <c r="AG1491" s="2"/>
    </row>
    <row r="1492" spans="29:33">
      <c r="AC1492" s="2"/>
      <c r="AD1492" s="2"/>
      <c r="AE1492" s="2"/>
      <c r="AF1492" s="2"/>
      <c r="AG1492" s="2"/>
    </row>
    <row r="1493" spans="29:33">
      <c r="AC1493" s="2"/>
      <c r="AD1493" s="2"/>
      <c r="AE1493" s="2"/>
      <c r="AF1493" s="2"/>
      <c r="AG1493" s="2"/>
    </row>
    <row r="1494" spans="29:33">
      <c r="AC1494" s="2"/>
      <c r="AD1494" s="2"/>
      <c r="AE1494" s="2"/>
      <c r="AF1494" s="2"/>
      <c r="AG1494" s="2"/>
    </row>
    <row r="1495" spans="29:33">
      <c r="AC1495" s="2"/>
      <c r="AD1495" s="2"/>
      <c r="AE1495" s="2"/>
      <c r="AF1495" s="2"/>
      <c r="AG1495" s="2"/>
    </row>
    <row r="1496" spans="29:33">
      <c r="AC1496" s="2"/>
      <c r="AD1496" s="2"/>
      <c r="AE1496" s="2"/>
      <c r="AF1496" s="2"/>
      <c r="AG1496" s="2"/>
    </row>
    <row r="1497" spans="29:33">
      <c r="AC1497" s="2"/>
      <c r="AD1497" s="2"/>
      <c r="AE1497" s="2"/>
      <c r="AF1497" s="2"/>
      <c r="AG1497" s="2"/>
    </row>
    <row r="1498" spans="29:33">
      <c r="AC1498" s="2"/>
      <c r="AD1498" s="2"/>
      <c r="AE1498" s="2"/>
      <c r="AF1498" s="2"/>
      <c r="AG1498" s="2"/>
    </row>
    <row r="1499" spans="29:33">
      <c r="AC1499" s="2"/>
      <c r="AD1499" s="2"/>
      <c r="AE1499" s="2"/>
      <c r="AF1499" s="2"/>
      <c r="AG1499" s="2"/>
    </row>
    <row r="1500" spans="29:33">
      <c r="AC1500" s="2"/>
      <c r="AD1500" s="2"/>
      <c r="AE1500" s="2"/>
      <c r="AF1500" s="2"/>
      <c r="AG1500" s="2"/>
    </row>
    <row r="1501" spans="29:33">
      <c r="AC1501" s="2"/>
      <c r="AD1501" s="2"/>
      <c r="AE1501" s="2"/>
      <c r="AF1501" s="2"/>
      <c r="AG1501" s="2"/>
    </row>
    <row r="1502" spans="29:33">
      <c r="AC1502" s="2"/>
      <c r="AD1502" s="2"/>
      <c r="AE1502" s="2"/>
      <c r="AF1502" s="2"/>
      <c r="AG1502" s="2"/>
    </row>
    <row r="1503" spans="29:33">
      <c r="AC1503" s="2"/>
      <c r="AD1503" s="2"/>
      <c r="AE1503" s="2"/>
      <c r="AF1503" s="2"/>
      <c r="AG1503" s="2"/>
    </row>
    <row r="1504" spans="29:33">
      <c r="AC1504" s="2"/>
      <c r="AD1504" s="2"/>
      <c r="AE1504" s="2"/>
      <c r="AF1504" s="2"/>
      <c r="AG1504" s="2"/>
    </row>
    <row r="1505" spans="29:33">
      <c r="AC1505" s="2"/>
      <c r="AD1505" s="2"/>
      <c r="AE1505" s="2"/>
      <c r="AF1505" s="2"/>
      <c r="AG1505" s="2"/>
    </row>
    <row r="1506" spans="29:33">
      <c r="AC1506" s="2"/>
      <c r="AD1506" s="2"/>
      <c r="AE1506" s="2"/>
      <c r="AF1506" s="2"/>
      <c r="AG1506" s="2"/>
    </row>
    <row r="1507" spans="29:33">
      <c r="AC1507" s="2"/>
      <c r="AD1507" s="2"/>
      <c r="AE1507" s="2"/>
      <c r="AF1507" s="2"/>
      <c r="AG1507" s="2"/>
    </row>
    <row r="1508" spans="29:33">
      <c r="AC1508" s="2"/>
      <c r="AD1508" s="2"/>
      <c r="AE1508" s="2"/>
      <c r="AF1508" s="2"/>
      <c r="AG1508" s="2"/>
    </row>
    <row r="1509" spans="29:33">
      <c r="AC1509" s="2"/>
      <c r="AD1509" s="2"/>
      <c r="AE1509" s="2"/>
      <c r="AF1509" s="2"/>
      <c r="AG1509" s="2"/>
    </row>
    <row r="1510" spans="29:33">
      <c r="AC1510" s="2"/>
      <c r="AD1510" s="2"/>
      <c r="AE1510" s="2"/>
      <c r="AF1510" s="2"/>
      <c r="AG1510" s="2"/>
    </row>
    <row r="1511" spans="29:33">
      <c r="AC1511" s="2"/>
      <c r="AD1511" s="2"/>
      <c r="AE1511" s="2"/>
      <c r="AF1511" s="2"/>
      <c r="AG1511" s="2"/>
    </row>
    <row r="1512" spans="29:33">
      <c r="AC1512" s="2"/>
      <c r="AD1512" s="2"/>
      <c r="AE1512" s="2"/>
      <c r="AF1512" s="2"/>
      <c r="AG1512" s="2"/>
    </row>
    <row r="1513" spans="29:33">
      <c r="AC1513" s="2"/>
      <c r="AD1513" s="2"/>
      <c r="AE1513" s="2"/>
      <c r="AF1513" s="2"/>
      <c r="AG1513" s="2"/>
    </row>
    <row r="1514" spans="29:33">
      <c r="AC1514" s="2"/>
      <c r="AD1514" s="2"/>
      <c r="AE1514" s="2"/>
      <c r="AF1514" s="2"/>
      <c r="AG1514" s="2"/>
    </row>
    <row r="1515" spans="29:33">
      <c r="AC1515" s="2"/>
      <c r="AD1515" s="2"/>
      <c r="AE1515" s="2"/>
      <c r="AF1515" s="2"/>
      <c r="AG1515" s="2"/>
    </row>
    <row r="1516" spans="29:33">
      <c r="AC1516" s="2"/>
      <c r="AD1516" s="2"/>
      <c r="AE1516" s="2"/>
      <c r="AF1516" s="2"/>
      <c r="AG1516" s="2"/>
    </row>
    <row r="1517" spans="29:33">
      <c r="AC1517" s="2"/>
      <c r="AD1517" s="2"/>
      <c r="AE1517" s="2"/>
      <c r="AF1517" s="2"/>
      <c r="AG1517" s="2"/>
    </row>
    <row r="1518" spans="29:33">
      <c r="AC1518" s="2"/>
      <c r="AD1518" s="2"/>
      <c r="AE1518" s="2"/>
      <c r="AF1518" s="2"/>
      <c r="AG1518" s="2"/>
    </row>
    <row r="1519" spans="29:33">
      <c r="AC1519" s="2"/>
      <c r="AD1519" s="2"/>
      <c r="AE1519" s="2"/>
      <c r="AF1519" s="2"/>
      <c r="AG1519" s="2"/>
    </row>
    <row r="1520" spans="29:33">
      <c r="AC1520" s="2"/>
      <c r="AD1520" s="2"/>
      <c r="AE1520" s="2"/>
      <c r="AF1520" s="2"/>
      <c r="AG1520" s="2"/>
    </row>
    <row r="1521" spans="29:33">
      <c r="AC1521" s="2"/>
      <c r="AD1521" s="2"/>
      <c r="AE1521" s="2"/>
      <c r="AF1521" s="2"/>
      <c r="AG1521" s="2"/>
    </row>
    <row r="1522" spans="29:33">
      <c r="AC1522" s="2"/>
      <c r="AD1522" s="2"/>
      <c r="AE1522" s="2"/>
      <c r="AF1522" s="2"/>
      <c r="AG1522" s="2"/>
    </row>
    <row r="1523" spans="29:33">
      <c r="AC1523" s="2"/>
      <c r="AD1523" s="2"/>
      <c r="AE1523" s="2"/>
      <c r="AF1523" s="2"/>
      <c r="AG1523" s="2"/>
    </row>
    <row r="1524" spans="29:33">
      <c r="AC1524" s="2"/>
      <c r="AD1524" s="2"/>
      <c r="AE1524" s="2"/>
      <c r="AF1524" s="2"/>
      <c r="AG1524" s="2"/>
    </row>
    <row r="1525" spans="29:33">
      <c r="AC1525" s="2"/>
      <c r="AD1525" s="2"/>
      <c r="AE1525" s="2"/>
      <c r="AF1525" s="2"/>
      <c r="AG1525" s="2"/>
    </row>
    <row r="1526" spans="29:33">
      <c r="AC1526" s="2"/>
      <c r="AD1526" s="2"/>
      <c r="AE1526" s="2"/>
      <c r="AF1526" s="2"/>
      <c r="AG1526" s="2"/>
    </row>
    <row r="1527" spans="29:33">
      <c r="AC1527" s="2"/>
      <c r="AD1527" s="2"/>
      <c r="AE1527" s="2"/>
      <c r="AF1527" s="2"/>
      <c r="AG1527" s="2"/>
    </row>
    <row r="1528" spans="29:33">
      <c r="AC1528" s="2"/>
      <c r="AD1528" s="2"/>
      <c r="AE1528" s="2"/>
      <c r="AF1528" s="2"/>
      <c r="AG1528" s="2"/>
    </row>
    <row r="1529" spans="29:33">
      <c r="AC1529" s="2"/>
      <c r="AD1529" s="2"/>
      <c r="AE1529" s="2"/>
      <c r="AF1529" s="2"/>
      <c r="AG1529" s="2"/>
    </row>
    <row r="1530" spans="29:33">
      <c r="AC1530" s="2"/>
      <c r="AD1530" s="2"/>
      <c r="AE1530" s="2"/>
      <c r="AF1530" s="2"/>
      <c r="AG1530" s="2"/>
    </row>
    <row r="1531" spans="29:33">
      <c r="AC1531" s="2"/>
      <c r="AD1531" s="2"/>
      <c r="AE1531" s="2"/>
      <c r="AF1531" s="2"/>
      <c r="AG1531" s="2"/>
    </row>
    <row r="1532" spans="29:33">
      <c r="AC1532" s="2"/>
      <c r="AD1532" s="2"/>
      <c r="AE1532" s="2"/>
      <c r="AF1532" s="2"/>
      <c r="AG1532" s="2"/>
    </row>
    <row r="1533" spans="29:33">
      <c r="AC1533" s="2"/>
      <c r="AD1533" s="2"/>
      <c r="AE1533" s="2"/>
      <c r="AF1533" s="2"/>
      <c r="AG1533" s="2"/>
    </row>
    <row r="1534" spans="29:33">
      <c r="AC1534" s="2"/>
      <c r="AD1534" s="2"/>
      <c r="AE1534" s="2"/>
      <c r="AF1534" s="2"/>
      <c r="AG1534" s="2"/>
    </row>
    <row r="1535" spans="29:33">
      <c r="AC1535" s="2"/>
      <c r="AD1535" s="2"/>
      <c r="AE1535" s="2"/>
      <c r="AF1535" s="2"/>
      <c r="AG1535" s="2"/>
    </row>
    <row r="1536" spans="29:33">
      <c r="AC1536" s="2"/>
      <c r="AD1536" s="2"/>
      <c r="AE1536" s="2"/>
      <c r="AF1536" s="2"/>
      <c r="AG1536" s="2"/>
    </row>
    <row r="1537" spans="29:33">
      <c r="AC1537" s="2"/>
      <c r="AD1537" s="2"/>
      <c r="AE1537" s="2"/>
      <c r="AF1537" s="2"/>
      <c r="AG1537" s="2"/>
    </row>
    <row r="1538" spans="29:33">
      <c r="AC1538" s="2"/>
      <c r="AD1538" s="2"/>
      <c r="AE1538" s="2"/>
      <c r="AF1538" s="2"/>
      <c r="AG1538" s="2"/>
    </row>
    <row r="1539" spans="29:33">
      <c r="AC1539" s="2"/>
      <c r="AD1539" s="2"/>
      <c r="AE1539" s="2"/>
      <c r="AF1539" s="2"/>
      <c r="AG1539" s="2"/>
    </row>
    <row r="1540" spans="29:33">
      <c r="AC1540" s="2"/>
      <c r="AD1540" s="2"/>
      <c r="AE1540" s="2"/>
      <c r="AF1540" s="2"/>
      <c r="AG1540" s="2"/>
    </row>
    <row r="1541" spans="29:33">
      <c r="AC1541" s="2"/>
      <c r="AD1541" s="2"/>
      <c r="AE1541" s="2"/>
      <c r="AF1541" s="2"/>
      <c r="AG1541" s="2"/>
    </row>
    <row r="1542" spans="29:33">
      <c r="AC1542" s="2"/>
      <c r="AD1542" s="2"/>
      <c r="AE1542" s="2"/>
      <c r="AF1542" s="2"/>
      <c r="AG1542" s="2"/>
    </row>
    <row r="1543" spans="29:33">
      <c r="AC1543" s="2"/>
      <c r="AD1543" s="2"/>
      <c r="AE1543" s="2"/>
      <c r="AF1543" s="2"/>
      <c r="AG1543" s="2"/>
    </row>
    <row r="1544" spans="29:33">
      <c r="AC1544" s="2"/>
      <c r="AD1544" s="2"/>
      <c r="AE1544" s="2"/>
      <c r="AF1544" s="2"/>
      <c r="AG1544" s="2"/>
    </row>
    <row r="1545" spans="29:33">
      <c r="AC1545" s="2"/>
      <c r="AD1545" s="2"/>
      <c r="AE1545" s="2"/>
      <c r="AF1545" s="2"/>
      <c r="AG1545" s="2"/>
    </row>
    <row r="1546" spans="29:33">
      <c r="AC1546" s="2"/>
      <c r="AD1546" s="2"/>
      <c r="AE1546" s="2"/>
      <c r="AF1546" s="2"/>
      <c r="AG1546" s="2"/>
    </row>
    <row r="1547" spans="29:33">
      <c r="AC1547" s="2"/>
      <c r="AD1547" s="2"/>
      <c r="AE1547" s="2"/>
      <c r="AF1547" s="2"/>
      <c r="AG1547" s="2"/>
    </row>
    <row r="1548" spans="29:33">
      <c r="AC1548" s="2"/>
      <c r="AD1548" s="2"/>
      <c r="AE1548" s="2"/>
      <c r="AF1548" s="2"/>
      <c r="AG1548" s="2"/>
    </row>
    <row r="1549" spans="29:33">
      <c r="AC1549" s="2"/>
      <c r="AD1549" s="2"/>
      <c r="AE1549" s="2"/>
      <c r="AF1549" s="2"/>
      <c r="AG1549" s="2"/>
    </row>
    <row r="1550" spans="29:33">
      <c r="AC1550" s="2"/>
      <c r="AD1550" s="2"/>
      <c r="AE1550" s="2"/>
      <c r="AF1550" s="2"/>
      <c r="AG1550" s="2"/>
    </row>
    <row r="1551" spans="29:33">
      <c r="AC1551" s="2"/>
      <c r="AD1551" s="2"/>
      <c r="AE1551" s="2"/>
      <c r="AF1551" s="2"/>
      <c r="AG1551" s="2"/>
    </row>
    <row r="1552" spans="29:33">
      <c r="AC1552" s="2"/>
      <c r="AD1552" s="2"/>
      <c r="AE1552" s="2"/>
      <c r="AF1552" s="2"/>
      <c r="AG1552" s="2"/>
    </row>
    <row r="1553" spans="29:33">
      <c r="AC1553" s="2"/>
      <c r="AD1553" s="2"/>
      <c r="AE1553" s="2"/>
      <c r="AF1553" s="2"/>
      <c r="AG1553" s="2"/>
    </row>
    <row r="1554" spans="29:33">
      <c r="AC1554" s="2"/>
      <c r="AD1554" s="2"/>
      <c r="AE1554" s="2"/>
      <c r="AF1554" s="2"/>
      <c r="AG1554" s="2"/>
    </row>
    <row r="1555" spans="29:33">
      <c r="AC1555" s="2"/>
      <c r="AD1555" s="2"/>
      <c r="AE1555" s="2"/>
      <c r="AF1555" s="2"/>
      <c r="AG1555" s="2"/>
    </row>
    <row r="1556" spans="29:33">
      <c r="AC1556" s="2"/>
      <c r="AD1556" s="2"/>
      <c r="AE1556" s="2"/>
      <c r="AF1556" s="2"/>
      <c r="AG1556" s="2"/>
    </row>
    <row r="1557" spans="29:33">
      <c r="AC1557" s="2"/>
      <c r="AD1557" s="2"/>
      <c r="AE1557" s="2"/>
      <c r="AF1557" s="2"/>
      <c r="AG1557" s="2"/>
    </row>
    <row r="1558" spans="29:33">
      <c r="AC1558" s="2"/>
      <c r="AD1558" s="2"/>
      <c r="AE1558" s="2"/>
      <c r="AF1558" s="2"/>
      <c r="AG1558" s="2"/>
    </row>
    <row r="1559" spans="29:33">
      <c r="AC1559" s="2"/>
      <c r="AD1559" s="2"/>
      <c r="AE1559" s="2"/>
      <c r="AF1559" s="2"/>
      <c r="AG1559" s="2"/>
    </row>
    <row r="1560" spans="29:33">
      <c r="AC1560" s="2"/>
      <c r="AD1560" s="2"/>
      <c r="AE1560" s="2"/>
      <c r="AF1560" s="2"/>
      <c r="AG1560" s="2"/>
    </row>
    <row r="1561" spans="29:33">
      <c r="AC1561" s="2"/>
      <c r="AD1561" s="2"/>
      <c r="AE1561" s="2"/>
      <c r="AF1561" s="2"/>
      <c r="AG1561" s="2"/>
    </row>
    <row r="1562" spans="29:33">
      <c r="AC1562" s="2"/>
      <c r="AD1562" s="2"/>
      <c r="AE1562" s="2"/>
      <c r="AF1562" s="2"/>
      <c r="AG1562" s="2"/>
    </row>
    <row r="1563" spans="29:33">
      <c r="AC1563" s="2"/>
      <c r="AD1563" s="2"/>
      <c r="AE1563" s="2"/>
      <c r="AF1563" s="2"/>
      <c r="AG1563" s="2"/>
    </row>
    <row r="1564" spans="29:33">
      <c r="AC1564" s="2"/>
      <c r="AD1564" s="2"/>
      <c r="AE1564" s="2"/>
      <c r="AF1564" s="2"/>
      <c r="AG1564" s="2"/>
    </row>
    <row r="1565" spans="29:33">
      <c r="AC1565" s="2"/>
      <c r="AD1565" s="2"/>
      <c r="AE1565" s="2"/>
      <c r="AF1565" s="2"/>
      <c r="AG1565" s="2"/>
    </row>
    <row r="1566" spans="29:33">
      <c r="AC1566" s="2"/>
      <c r="AD1566" s="2"/>
      <c r="AE1566" s="2"/>
      <c r="AF1566" s="2"/>
      <c r="AG1566" s="2"/>
    </row>
    <row r="1567" spans="29:33">
      <c r="AC1567" s="2"/>
      <c r="AD1567" s="2"/>
      <c r="AE1567" s="2"/>
      <c r="AF1567" s="2"/>
      <c r="AG1567" s="2"/>
    </row>
    <row r="1568" spans="29:33">
      <c r="AC1568" s="2"/>
      <c r="AD1568" s="2"/>
      <c r="AE1568" s="2"/>
      <c r="AF1568" s="2"/>
      <c r="AG1568" s="2"/>
    </row>
    <row r="1569" spans="29:33">
      <c r="AC1569" s="2"/>
      <c r="AD1569" s="2"/>
      <c r="AE1569" s="2"/>
      <c r="AF1569" s="2"/>
      <c r="AG1569" s="2"/>
    </row>
    <row r="1570" spans="29:33">
      <c r="AC1570" s="2"/>
      <c r="AD1570" s="2"/>
      <c r="AE1570" s="2"/>
      <c r="AF1570" s="2"/>
      <c r="AG1570" s="2"/>
    </row>
    <row r="1571" spans="29:33">
      <c r="AC1571" s="2"/>
      <c r="AD1571" s="2"/>
      <c r="AE1571" s="2"/>
      <c r="AF1571" s="2"/>
      <c r="AG1571" s="2"/>
    </row>
    <row r="1572" spans="29:33">
      <c r="AC1572" s="2"/>
      <c r="AD1572" s="2"/>
      <c r="AE1572" s="2"/>
      <c r="AF1572" s="2"/>
      <c r="AG1572" s="2"/>
    </row>
    <row r="1573" spans="29:33">
      <c r="AC1573" s="2"/>
      <c r="AD1573" s="2"/>
      <c r="AE1573" s="2"/>
      <c r="AF1573" s="2"/>
      <c r="AG1573" s="2"/>
    </row>
    <row r="1574" spans="29:33">
      <c r="AC1574" s="2"/>
      <c r="AD1574" s="2"/>
      <c r="AE1574" s="2"/>
      <c r="AF1574" s="2"/>
      <c r="AG1574" s="2"/>
    </row>
    <row r="1575" spans="29:33">
      <c r="AC1575" s="2"/>
      <c r="AD1575" s="2"/>
      <c r="AE1575" s="2"/>
      <c r="AF1575" s="2"/>
      <c r="AG1575" s="2"/>
    </row>
    <row r="1576" spans="29:33">
      <c r="AC1576" s="2"/>
      <c r="AD1576" s="2"/>
      <c r="AE1576" s="2"/>
      <c r="AF1576" s="2"/>
      <c r="AG1576" s="2"/>
    </row>
    <row r="1577" spans="29:33">
      <c r="AC1577" s="2"/>
      <c r="AD1577" s="2"/>
      <c r="AE1577" s="2"/>
      <c r="AF1577" s="2"/>
      <c r="AG1577" s="2"/>
    </row>
    <row r="1578" spans="29:33">
      <c r="AC1578" s="2"/>
      <c r="AD1578" s="2"/>
      <c r="AE1578" s="2"/>
      <c r="AF1578" s="2"/>
      <c r="AG1578" s="2"/>
    </row>
    <row r="1579" spans="29:33">
      <c r="AC1579" s="2"/>
      <c r="AD1579" s="2"/>
      <c r="AE1579" s="2"/>
      <c r="AF1579" s="2"/>
      <c r="AG1579" s="2"/>
    </row>
    <row r="1580" spans="29:33">
      <c r="AC1580" s="2"/>
      <c r="AD1580" s="2"/>
      <c r="AE1580" s="2"/>
      <c r="AF1580" s="2"/>
      <c r="AG1580" s="2"/>
    </row>
    <row r="1581" spans="29:33">
      <c r="AC1581" s="2"/>
      <c r="AD1581" s="2"/>
      <c r="AE1581" s="2"/>
      <c r="AF1581" s="2"/>
      <c r="AG1581" s="2"/>
    </row>
    <row r="1582" spans="29:33">
      <c r="AC1582" s="2"/>
      <c r="AD1582" s="2"/>
      <c r="AE1582" s="2"/>
      <c r="AF1582" s="2"/>
      <c r="AG1582" s="2"/>
    </row>
    <row r="1583" spans="29:33">
      <c r="AC1583" s="2"/>
      <c r="AD1583" s="2"/>
      <c r="AE1583" s="2"/>
      <c r="AF1583" s="2"/>
      <c r="AG1583" s="2"/>
    </row>
    <row r="1584" spans="29:33">
      <c r="AC1584" s="2"/>
      <c r="AD1584" s="2"/>
      <c r="AE1584" s="2"/>
      <c r="AF1584" s="2"/>
      <c r="AG1584" s="2"/>
    </row>
    <row r="1585" spans="29:33">
      <c r="AC1585" s="2"/>
      <c r="AD1585" s="2"/>
      <c r="AE1585" s="2"/>
      <c r="AF1585" s="2"/>
      <c r="AG1585" s="2"/>
    </row>
    <row r="1586" spans="29:33">
      <c r="AC1586" s="2"/>
      <c r="AD1586" s="2"/>
      <c r="AE1586" s="2"/>
      <c r="AF1586" s="2"/>
      <c r="AG1586" s="2"/>
    </row>
    <row r="1587" spans="29:33">
      <c r="AC1587" s="2"/>
      <c r="AD1587" s="2"/>
      <c r="AE1587" s="2"/>
      <c r="AF1587" s="2"/>
      <c r="AG1587" s="2"/>
    </row>
    <row r="1588" spans="29:33">
      <c r="AC1588" s="2"/>
      <c r="AD1588" s="2"/>
      <c r="AE1588" s="2"/>
      <c r="AF1588" s="2"/>
      <c r="AG1588" s="2"/>
    </row>
    <row r="1589" spans="29:33">
      <c r="AC1589" s="2"/>
      <c r="AD1589" s="2"/>
      <c r="AE1589" s="2"/>
      <c r="AF1589" s="2"/>
      <c r="AG1589" s="2"/>
    </row>
    <row r="1590" spans="29:33">
      <c r="AC1590" s="2"/>
      <c r="AD1590" s="2"/>
      <c r="AE1590" s="2"/>
      <c r="AF1590" s="2"/>
      <c r="AG1590" s="2"/>
    </row>
    <row r="1591" spans="29:33">
      <c r="AC1591" s="2"/>
      <c r="AD1591" s="2"/>
      <c r="AE1591" s="2"/>
      <c r="AF1591" s="2"/>
      <c r="AG1591" s="2"/>
    </row>
    <row r="1592" spans="29:33">
      <c r="AC1592" s="2"/>
      <c r="AD1592" s="2"/>
      <c r="AE1592" s="2"/>
      <c r="AF1592" s="2"/>
      <c r="AG1592" s="2"/>
    </row>
    <row r="1593" spans="29:33">
      <c r="AC1593" s="2"/>
      <c r="AD1593" s="2"/>
      <c r="AE1593" s="2"/>
      <c r="AF1593" s="2"/>
      <c r="AG1593" s="2"/>
    </row>
    <row r="1594" spans="29:33">
      <c r="AC1594" s="2"/>
      <c r="AD1594" s="2"/>
      <c r="AE1594" s="2"/>
      <c r="AF1594" s="2"/>
      <c r="AG1594" s="2"/>
    </row>
    <row r="1595" spans="29:33">
      <c r="AC1595" s="2"/>
      <c r="AD1595" s="2"/>
      <c r="AE1595" s="2"/>
      <c r="AF1595" s="2"/>
      <c r="AG1595" s="2"/>
    </row>
    <row r="1596" spans="29:33">
      <c r="AC1596" s="2"/>
      <c r="AD1596" s="2"/>
      <c r="AE1596" s="2"/>
      <c r="AF1596" s="2"/>
      <c r="AG1596" s="2"/>
    </row>
    <row r="1597" spans="29:33">
      <c r="AC1597" s="2"/>
      <c r="AD1597" s="2"/>
      <c r="AE1597" s="2"/>
      <c r="AF1597" s="2"/>
      <c r="AG1597" s="2"/>
    </row>
    <row r="1598" spans="29:33">
      <c r="AC1598" s="2"/>
      <c r="AD1598" s="2"/>
      <c r="AE1598" s="2"/>
      <c r="AF1598" s="2"/>
      <c r="AG1598" s="2"/>
    </row>
    <row r="1599" spans="29:33">
      <c r="AC1599" s="2"/>
      <c r="AD1599" s="2"/>
      <c r="AE1599" s="2"/>
      <c r="AF1599" s="2"/>
      <c r="AG1599" s="2"/>
    </row>
    <row r="1600" spans="29:33">
      <c r="AC1600" s="2"/>
      <c r="AD1600" s="2"/>
      <c r="AE1600" s="2"/>
      <c r="AF1600" s="2"/>
      <c r="AG1600" s="2"/>
    </row>
    <row r="1601" spans="29:33">
      <c r="AC1601" s="2"/>
      <c r="AD1601" s="2"/>
      <c r="AE1601" s="2"/>
      <c r="AF1601" s="2"/>
      <c r="AG1601" s="2"/>
    </row>
    <row r="1602" spans="29:33">
      <c r="AC1602" s="2"/>
      <c r="AD1602" s="2"/>
      <c r="AE1602" s="2"/>
      <c r="AF1602" s="2"/>
      <c r="AG1602" s="2"/>
    </row>
    <row r="1603" spans="29:33">
      <c r="AC1603" s="2"/>
      <c r="AD1603" s="2"/>
      <c r="AE1603" s="2"/>
      <c r="AF1603" s="2"/>
      <c r="AG1603" s="2"/>
    </row>
    <row r="1604" spans="29:33">
      <c r="AC1604" s="2"/>
      <c r="AD1604" s="2"/>
      <c r="AE1604" s="2"/>
      <c r="AF1604" s="2"/>
      <c r="AG1604" s="2"/>
    </row>
    <row r="1605" spans="29:33">
      <c r="AC1605" s="2"/>
      <c r="AD1605" s="2"/>
      <c r="AE1605" s="2"/>
      <c r="AF1605" s="2"/>
      <c r="AG1605" s="2"/>
    </row>
    <row r="1606" spans="29:33">
      <c r="AC1606" s="2"/>
      <c r="AD1606" s="2"/>
      <c r="AE1606" s="2"/>
      <c r="AF1606" s="2"/>
      <c r="AG1606" s="2"/>
    </row>
    <row r="1607" spans="29:33">
      <c r="AC1607" s="2"/>
      <c r="AD1607" s="2"/>
      <c r="AE1607" s="2"/>
      <c r="AF1607" s="2"/>
      <c r="AG1607" s="2"/>
    </row>
    <row r="1608" spans="29:33">
      <c r="AC1608" s="2"/>
      <c r="AD1608" s="2"/>
      <c r="AE1608" s="2"/>
      <c r="AF1608" s="2"/>
      <c r="AG1608" s="2"/>
    </row>
    <row r="1609" spans="29:33">
      <c r="AC1609" s="2"/>
      <c r="AD1609" s="2"/>
      <c r="AE1609" s="2"/>
      <c r="AF1609" s="2"/>
      <c r="AG1609" s="2"/>
    </row>
    <row r="1610" spans="29:33">
      <c r="AC1610" s="2"/>
      <c r="AD1610" s="2"/>
      <c r="AE1610" s="2"/>
      <c r="AF1610" s="2"/>
      <c r="AG1610" s="2"/>
    </row>
    <row r="1611" spans="29:33">
      <c r="AC1611" s="2"/>
      <c r="AD1611" s="2"/>
      <c r="AE1611" s="2"/>
      <c r="AF1611" s="2"/>
      <c r="AG1611" s="2"/>
    </row>
    <row r="1612" spans="29:33">
      <c r="AC1612" s="2"/>
      <c r="AD1612" s="2"/>
      <c r="AE1612" s="2"/>
      <c r="AF1612" s="2"/>
      <c r="AG1612" s="2"/>
    </row>
    <row r="1613" spans="29:33">
      <c r="AC1613" s="2"/>
      <c r="AD1613" s="2"/>
      <c r="AE1613" s="2"/>
      <c r="AF1613" s="2"/>
      <c r="AG1613" s="2"/>
    </row>
    <row r="1614" spans="29:33">
      <c r="AC1614" s="2"/>
      <c r="AD1614" s="2"/>
      <c r="AE1614" s="2"/>
      <c r="AF1614" s="2"/>
      <c r="AG1614" s="2"/>
    </row>
    <row r="1615" spans="29:33">
      <c r="AC1615" s="2"/>
      <c r="AD1615" s="2"/>
      <c r="AE1615" s="2"/>
      <c r="AF1615" s="2"/>
      <c r="AG1615" s="2"/>
    </row>
    <row r="1616" spans="29:33">
      <c r="AC1616" s="2"/>
      <c r="AD1616" s="2"/>
      <c r="AE1616" s="2"/>
      <c r="AF1616" s="2"/>
      <c r="AG1616" s="2"/>
    </row>
    <row r="1617" spans="29:33">
      <c r="AC1617" s="2"/>
      <c r="AD1617" s="2"/>
      <c r="AE1617" s="2"/>
      <c r="AF1617" s="2"/>
      <c r="AG1617" s="2"/>
    </row>
    <row r="1618" spans="29:33">
      <c r="AC1618" s="2"/>
      <c r="AD1618" s="2"/>
      <c r="AE1618" s="2"/>
      <c r="AF1618" s="2"/>
      <c r="AG1618" s="2"/>
    </row>
    <row r="1619" spans="29:33">
      <c r="AC1619" s="2"/>
      <c r="AD1619" s="2"/>
      <c r="AE1619" s="2"/>
      <c r="AF1619" s="2"/>
      <c r="AG1619" s="2"/>
    </row>
    <row r="1620" spans="29:33">
      <c r="AC1620" s="2"/>
      <c r="AD1620" s="2"/>
      <c r="AE1620" s="2"/>
      <c r="AF1620" s="2"/>
      <c r="AG1620" s="2"/>
    </row>
    <row r="1621" spans="29:33">
      <c r="AC1621" s="2"/>
      <c r="AD1621" s="2"/>
      <c r="AE1621" s="2"/>
      <c r="AF1621" s="2"/>
      <c r="AG1621" s="2"/>
    </row>
    <row r="1622" spans="29:33">
      <c r="AC1622" s="2"/>
      <c r="AD1622" s="2"/>
      <c r="AE1622" s="2"/>
      <c r="AF1622" s="2"/>
      <c r="AG1622" s="2"/>
    </row>
    <row r="1623" spans="29:33">
      <c r="AC1623" s="2"/>
      <c r="AD1623" s="2"/>
      <c r="AE1623" s="2"/>
      <c r="AF1623" s="2"/>
      <c r="AG1623" s="2"/>
    </row>
    <row r="1624" spans="29:33">
      <c r="AC1624" s="2"/>
      <c r="AD1624" s="2"/>
      <c r="AE1624" s="2"/>
      <c r="AF1624" s="2"/>
      <c r="AG1624" s="2"/>
    </row>
    <row r="1625" spans="29:33">
      <c r="AC1625" s="2"/>
      <c r="AD1625" s="2"/>
      <c r="AE1625" s="2"/>
      <c r="AF1625" s="2"/>
      <c r="AG1625" s="2"/>
    </row>
    <row r="1626" spans="29:33">
      <c r="AC1626" s="2"/>
      <c r="AD1626" s="2"/>
      <c r="AE1626" s="2"/>
      <c r="AF1626" s="2"/>
      <c r="AG1626" s="2"/>
    </row>
    <row r="1627" spans="29:33">
      <c r="AC1627" s="2"/>
      <c r="AD1627" s="2"/>
      <c r="AE1627" s="2"/>
      <c r="AF1627" s="2"/>
      <c r="AG1627" s="2"/>
    </row>
    <row r="1628" spans="29:33">
      <c r="AC1628" s="2"/>
      <c r="AD1628" s="2"/>
      <c r="AE1628" s="2"/>
      <c r="AF1628" s="2"/>
      <c r="AG1628" s="2"/>
    </row>
    <row r="1629" spans="29:33">
      <c r="AC1629" s="2"/>
      <c r="AD1629" s="2"/>
      <c r="AE1629" s="2"/>
      <c r="AF1629" s="2"/>
      <c r="AG1629" s="2"/>
    </row>
    <row r="1630" spans="29:33">
      <c r="AC1630" s="2"/>
      <c r="AD1630" s="2"/>
      <c r="AE1630" s="2"/>
      <c r="AF1630" s="2"/>
      <c r="AG1630" s="2"/>
    </row>
    <row r="1631" spans="29:33">
      <c r="AC1631" s="2"/>
      <c r="AD1631" s="2"/>
      <c r="AE1631" s="2"/>
      <c r="AF1631" s="2"/>
      <c r="AG1631" s="2"/>
    </row>
    <row r="1632" spans="29:33">
      <c r="AC1632" s="2"/>
      <c r="AD1632" s="2"/>
      <c r="AE1632" s="2"/>
      <c r="AF1632" s="2"/>
      <c r="AG1632" s="2"/>
    </row>
    <row r="1633" spans="29:33">
      <c r="AC1633" s="2"/>
      <c r="AD1633" s="2"/>
      <c r="AE1633" s="2"/>
      <c r="AF1633" s="2"/>
      <c r="AG1633" s="2"/>
    </row>
    <row r="1634" spans="29:33">
      <c r="AC1634" s="2"/>
      <c r="AD1634" s="2"/>
      <c r="AE1634" s="2"/>
      <c r="AF1634" s="2"/>
      <c r="AG1634" s="2"/>
    </row>
    <row r="1635" spans="29:33">
      <c r="AC1635" s="2"/>
      <c r="AD1635" s="2"/>
      <c r="AE1635" s="2"/>
      <c r="AF1635" s="2"/>
      <c r="AG1635" s="2"/>
    </row>
    <row r="1636" spans="29:33">
      <c r="AC1636" s="2"/>
      <c r="AD1636" s="2"/>
      <c r="AE1636" s="2"/>
      <c r="AF1636" s="2"/>
      <c r="AG1636" s="2"/>
    </row>
    <row r="1637" spans="29:33">
      <c r="AC1637" s="2"/>
      <c r="AD1637" s="2"/>
      <c r="AE1637" s="2"/>
      <c r="AF1637" s="2"/>
      <c r="AG1637" s="2"/>
    </row>
    <row r="1638" spans="29:33">
      <c r="AC1638" s="2"/>
      <c r="AD1638" s="2"/>
      <c r="AE1638" s="2"/>
      <c r="AF1638" s="2"/>
      <c r="AG1638" s="2"/>
    </row>
    <row r="1639" spans="29:33">
      <c r="AC1639" s="2"/>
      <c r="AD1639" s="2"/>
      <c r="AE1639" s="2"/>
      <c r="AF1639" s="2"/>
      <c r="AG1639" s="2"/>
    </row>
    <row r="1640" spans="29:33">
      <c r="AC1640" s="2"/>
      <c r="AD1640" s="2"/>
      <c r="AE1640" s="2"/>
      <c r="AF1640" s="2"/>
      <c r="AG1640" s="2"/>
    </row>
    <row r="1641" spans="29:33">
      <c r="AC1641" s="2"/>
      <c r="AD1641" s="2"/>
      <c r="AE1641" s="2"/>
      <c r="AF1641" s="2"/>
      <c r="AG1641" s="2"/>
    </row>
    <row r="1642" spans="29:33">
      <c r="AC1642" s="2"/>
      <c r="AD1642" s="2"/>
      <c r="AE1642" s="2"/>
      <c r="AF1642" s="2"/>
      <c r="AG1642" s="2"/>
    </row>
    <row r="1643" spans="29:33">
      <c r="AC1643" s="2"/>
      <c r="AD1643" s="2"/>
      <c r="AE1643" s="2"/>
      <c r="AF1643" s="2"/>
      <c r="AG1643" s="2"/>
    </row>
    <row r="1644" spans="29:33">
      <c r="AC1644" s="2"/>
      <c r="AD1644" s="2"/>
      <c r="AE1644" s="2"/>
      <c r="AF1644" s="2"/>
      <c r="AG1644" s="2"/>
    </row>
    <row r="1645" spans="29:33">
      <c r="AC1645" s="2"/>
      <c r="AD1645" s="2"/>
      <c r="AE1645" s="2"/>
      <c r="AF1645" s="2"/>
      <c r="AG1645" s="2"/>
    </row>
    <row r="1646" spans="29:33">
      <c r="AC1646" s="2"/>
      <c r="AD1646" s="2"/>
      <c r="AE1646" s="2"/>
      <c r="AF1646" s="2"/>
      <c r="AG1646" s="2"/>
    </row>
    <row r="1647" spans="29:33">
      <c r="AC1647" s="2"/>
      <c r="AD1647" s="2"/>
      <c r="AE1647" s="2"/>
      <c r="AF1647" s="2"/>
      <c r="AG1647" s="2"/>
    </row>
    <row r="1648" spans="29:33">
      <c r="AC1648" s="2"/>
      <c r="AD1648" s="2"/>
      <c r="AE1648" s="2"/>
      <c r="AF1648" s="2"/>
      <c r="AG1648" s="2"/>
    </row>
    <row r="1649" spans="29:33">
      <c r="AC1649" s="2"/>
      <c r="AD1649" s="2"/>
      <c r="AE1649" s="2"/>
      <c r="AF1649" s="2"/>
      <c r="AG1649" s="2"/>
    </row>
    <row r="1650" spans="29:33">
      <c r="AC1650" s="2"/>
      <c r="AD1650" s="2"/>
      <c r="AE1650" s="2"/>
      <c r="AF1650" s="2"/>
      <c r="AG1650" s="2"/>
    </row>
    <row r="1651" spans="29:33">
      <c r="AC1651" s="2"/>
      <c r="AD1651" s="2"/>
      <c r="AE1651" s="2"/>
      <c r="AF1651" s="2"/>
      <c r="AG1651" s="2"/>
    </row>
    <row r="1652" spans="29:33">
      <c r="AC1652" s="2"/>
      <c r="AD1652" s="2"/>
      <c r="AE1652" s="2"/>
      <c r="AF1652" s="2"/>
      <c r="AG1652" s="2"/>
    </row>
    <row r="1653" spans="29:33">
      <c r="AC1653" s="2"/>
      <c r="AD1653" s="2"/>
      <c r="AE1653" s="2"/>
      <c r="AF1653" s="2"/>
      <c r="AG1653" s="2"/>
    </row>
    <row r="1654" spans="29:33">
      <c r="AC1654" s="2"/>
      <c r="AD1654" s="2"/>
      <c r="AE1654" s="2"/>
      <c r="AF1654" s="2"/>
      <c r="AG1654" s="2"/>
    </row>
    <row r="1655" spans="29:33">
      <c r="AC1655" s="2"/>
      <c r="AD1655" s="2"/>
      <c r="AE1655" s="2"/>
      <c r="AF1655" s="2"/>
      <c r="AG1655" s="2"/>
    </row>
    <row r="1656" spans="29:33">
      <c r="AC1656" s="2"/>
      <c r="AD1656" s="2"/>
      <c r="AE1656" s="2"/>
      <c r="AF1656" s="2"/>
      <c r="AG1656" s="2"/>
    </row>
    <row r="1657" spans="29:33">
      <c r="AC1657" s="2"/>
      <c r="AD1657" s="2"/>
      <c r="AE1657" s="2"/>
      <c r="AF1657" s="2"/>
      <c r="AG1657" s="2"/>
    </row>
    <row r="1658" spans="29:33">
      <c r="AC1658" s="2"/>
      <c r="AD1658" s="2"/>
      <c r="AE1658" s="2"/>
      <c r="AF1658" s="2"/>
      <c r="AG1658" s="2"/>
    </row>
    <row r="1659" spans="29:33">
      <c r="AC1659" s="2"/>
      <c r="AD1659" s="2"/>
      <c r="AE1659" s="2"/>
      <c r="AF1659" s="2"/>
      <c r="AG1659" s="2"/>
    </row>
    <row r="1660" spans="29:33">
      <c r="AC1660" s="2"/>
      <c r="AD1660" s="2"/>
      <c r="AE1660" s="2"/>
      <c r="AF1660" s="2"/>
      <c r="AG1660" s="2"/>
    </row>
    <row r="1661" spans="29:33">
      <c r="AC1661" s="2"/>
      <c r="AD1661" s="2"/>
      <c r="AE1661" s="2"/>
      <c r="AF1661" s="2"/>
      <c r="AG1661" s="2"/>
    </row>
    <row r="1662" spans="29:33">
      <c r="AC1662" s="2"/>
      <c r="AD1662" s="2"/>
      <c r="AE1662" s="2"/>
      <c r="AF1662" s="2"/>
      <c r="AG1662" s="2"/>
    </row>
    <row r="1663" spans="29:33">
      <c r="AC1663" s="2"/>
      <c r="AD1663" s="2"/>
      <c r="AE1663" s="2"/>
      <c r="AF1663" s="2"/>
      <c r="AG1663" s="2"/>
    </row>
    <row r="1664" spans="29:33">
      <c r="AC1664" s="2"/>
      <c r="AD1664" s="2"/>
      <c r="AE1664" s="2"/>
      <c r="AF1664" s="2"/>
      <c r="AG1664" s="2"/>
    </row>
    <row r="1665" spans="29:33">
      <c r="AC1665" s="2"/>
      <c r="AD1665" s="2"/>
      <c r="AE1665" s="2"/>
      <c r="AF1665" s="2"/>
      <c r="AG1665" s="2"/>
    </row>
    <row r="1666" spans="29:33">
      <c r="AC1666" s="2"/>
      <c r="AD1666" s="2"/>
      <c r="AE1666" s="2"/>
      <c r="AF1666" s="2"/>
      <c r="AG1666" s="2"/>
    </row>
    <row r="1667" spans="29:33">
      <c r="AC1667" s="2"/>
      <c r="AD1667" s="2"/>
      <c r="AE1667" s="2"/>
      <c r="AF1667" s="2"/>
      <c r="AG1667" s="2"/>
    </row>
    <row r="1668" spans="29:33">
      <c r="AC1668" s="2"/>
      <c r="AD1668" s="2"/>
      <c r="AE1668" s="2"/>
      <c r="AF1668" s="2"/>
      <c r="AG1668" s="2"/>
    </row>
    <row r="1669" spans="29:33">
      <c r="AC1669" s="2"/>
      <c r="AD1669" s="2"/>
      <c r="AE1669" s="2"/>
      <c r="AF1669" s="2"/>
      <c r="AG1669" s="2"/>
    </row>
    <row r="1670" spans="29:33">
      <c r="AC1670" s="2"/>
      <c r="AD1670" s="2"/>
      <c r="AE1670" s="2"/>
      <c r="AF1670" s="2"/>
      <c r="AG1670" s="2"/>
    </row>
    <row r="1671" spans="29:33">
      <c r="AC1671" s="2"/>
      <c r="AD1671" s="2"/>
      <c r="AE1671" s="2"/>
      <c r="AF1671" s="2"/>
      <c r="AG1671" s="2"/>
    </row>
    <row r="1672" spans="29:33">
      <c r="AC1672" s="2"/>
      <c r="AD1672" s="2"/>
      <c r="AE1672" s="2"/>
      <c r="AF1672" s="2"/>
      <c r="AG1672" s="2"/>
    </row>
    <row r="1673" spans="29:33">
      <c r="AC1673" s="2"/>
      <c r="AD1673" s="2"/>
      <c r="AE1673" s="2"/>
      <c r="AF1673" s="2"/>
      <c r="AG1673" s="2"/>
    </row>
    <row r="1674" spans="29:33">
      <c r="AC1674" s="2"/>
      <c r="AD1674" s="2"/>
      <c r="AE1674" s="2"/>
      <c r="AF1674" s="2"/>
      <c r="AG1674" s="2"/>
    </row>
    <row r="1675" spans="29:33">
      <c r="AC1675" s="2"/>
      <c r="AD1675" s="2"/>
      <c r="AE1675" s="2"/>
      <c r="AF1675" s="2"/>
      <c r="AG1675" s="2"/>
    </row>
    <row r="1676" spans="29:33">
      <c r="AC1676" s="2"/>
      <c r="AD1676" s="2"/>
      <c r="AE1676" s="2"/>
      <c r="AF1676" s="2"/>
      <c r="AG1676" s="2"/>
    </row>
    <row r="1677" spans="29:33">
      <c r="AC1677" s="2"/>
      <c r="AD1677" s="2"/>
      <c r="AE1677" s="2"/>
      <c r="AF1677" s="2"/>
      <c r="AG1677" s="2"/>
    </row>
    <row r="1678" spans="29:33">
      <c r="AC1678" s="2"/>
      <c r="AD1678" s="2"/>
      <c r="AE1678" s="2"/>
      <c r="AF1678" s="2"/>
      <c r="AG1678" s="2"/>
    </row>
    <row r="1679" spans="29:33">
      <c r="AC1679" s="2"/>
      <c r="AD1679" s="2"/>
      <c r="AE1679" s="2"/>
      <c r="AF1679" s="2"/>
      <c r="AG1679" s="2"/>
    </row>
    <row r="1680" spans="29:33">
      <c r="AC1680" s="2"/>
      <c r="AD1680" s="2"/>
      <c r="AE1680" s="2"/>
      <c r="AF1680" s="2"/>
      <c r="AG1680" s="2"/>
    </row>
    <row r="1681" spans="29:33">
      <c r="AC1681" s="2"/>
      <c r="AD1681" s="2"/>
      <c r="AE1681" s="2"/>
      <c r="AF1681" s="2"/>
      <c r="AG1681" s="2"/>
    </row>
    <row r="1682" spans="29:33">
      <c r="AC1682" s="2"/>
      <c r="AD1682" s="2"/>
      <c r="AE1682" s="2"/>
      <c r="AF1682" s="2"/>
      <c r="AG1682" s="2"/>
    </row>
    <row r="1683" spans="29:33">
      <c r="AC1683" s="2"/>
      <c r="AD1683" s="2"/>
      <c r="AE1683" s="2"/>
      <c r="AF1683" s="2"/>
      <c r="AG1683" s="2"/>
    </row>
    <row r="1684" spans="29:33">
      <c r="AC1684" s="2"/>
      <c r="AD1684" s="2"/>
      <c r="AE1684" s="2"/>
      <c r="AF1684" s="2"/>
      <c r="AG1684" s="2"/>
    </row>
    <row r="1685" spans="29:33">
      <c r="AC1685" s="2"/>
      <c r="AD1685" s="2"/>
      <c r="AE1685" s="2"/>
      <c r="AF1685" s="2"/>
      <c r="AG1685" s="2"/>
    </row>
    <row r="1686" spans="29:33">
      <c r="AC1686" s="2"/>
      <c r="AD1686" s="2"/>
      <c r="AE1686" s="2"/>
      <c r="AF1686" s="2"/>
      <c r="AG1686" s="2"/>
    </row>
    <row r="1687" spans="29:33">
      <c r="AC1687" s="2"/>
      <c r="AD1687" s="2"/>
      <c r="AE1687" s="2"/>
      <c r="AF1687" s="2"/>
      <c r="AG1687" s="2"/>
    </row>
    <row r="1688" spans="29:33">
      <c r="AC1688" s="2"/>
      <c r="AD1688" s="2"/>
      <c r="AE1688" s="2"/>
      <c r="AF1688" s="2"/>
      <c r="AG1688" s="2"/>
    </row>
    <row r="1689" spans="29:33">
      <c r="AC1689" s="2"/>
      <c r="AD1689" s="2"/>
      <c r="AE1689" s="2"/>
      <c r="AF1689" s="2"/>
      <c r="AG1689" s="2"/>
    </row>
    <row r="1690" spans="29:33">
      <c r="AC1690" s="2"/>
      <c r="AD1690" s="2"/>
      <c r="AE1690" s="2"/>
      <c r="AF1690" s="2"/>
      <c r="AG1690" s="2"/>
    </row>
    <row r="1691" spans="29:33">
      <c r="AC1691" s="2"/>
      <c r="AD1691" s="2"/>
      <c r="AE1691" s="2"/>
      <c r="AF1691" s="2"/>
      <c r="AG1691" s="2"/>
    </row>
    <row r="1692" spans="29:33">
      <c r="AC1692" s="2"/>
      <c r="AD1692" s="2"/>
      <c r="AE1692" s="2"/>
      <c r="AF1692" s="2"/>
      <c r="AG1692" s="2"/>
    </row>
    <row r="1693" spans="29:33">
      <c r="AC1693" s="2"/>
      <c r="AD1693" s="2"/>
      <c r="AE1693" s="2"/>
      <c r="AF1693" s="2"/>
      <c r="AG1693" s="2"/>
    </row>
    <row r="1694" spans="29:33">
      <c r="AC1694" s="2"/>
      <c r="AD1694" s="2"/>
      <c r="AE1694" s="2"/>
      <c r="AF1694" s="2"/>
      <c r="AG1694" s="2"/>
    </row>
    <row r="1695" spans="29:33">
      <c r="AC1695" s="2"/>
      <c r="AD1695" s="2"/>
      <c r="AE1695" s="2"/>
      <c r="AF1695" s="2"/>
      <c r="AG1695" s="2"/>
    </row>
    <row r="1696" spans="29:33">
      <c r="AC1696" s="2"/>
      <c r="AD1696" s="2"/>
      <c r="AE1696" s="2"/>
      <c r="AF1696" s="2"/>
      <c r="AG1696" s="2"/>
    </row>
    <row r="1697" spans="29:33">
      <c r="AC1697" s="2"/>
      <c r="AD1697" s="2"/>
      <c r="AE1697" s="2"/>
      <c r="AF1697" s="2"/>
      <c r="AG1697" s="2"/>
    </row>
    <row r="1698" spans="29:33">
      <c r="AC1698" s="2"/>
      <c r="AD1698" s="2"/>
      <c r="AE1698" s="2"/>
      <c r="AF1698" s="2"/>
      <c r="AG1698" s="2"/>
    </row>
    <row r="1699" spans="29:33">
      <c r="AC1699" s="2"/>
      <c r="AD1699" s="2"/>
      <c r="AE1699" s="2"/>
      <c r="AF1699" s="2"/>
      <c r="AG1699" s="2"/>
    </row>
    <row r="1700" spans="29:33">
      <c r="AC1700" s="2"/>
      <c r="AD1700" s="2"/>
      <c r="AE1700" s="2"/>
      <c r="AF1700" s="2"/>
      <c r="AG1700" s="2"/>
    </row>
    <row r="1701" spans="29:33">
      <c r="AC1701" s="2"/>
      <c r="AD1701" s="2"/>
      <c r="AE1701" s="2"/>
      <c r="AF1701" s="2"/>
      <c r="AG1701" s="2"/>
    </row>
    <row r="1702" spans="29:33">
      <c r="AC1702" s="2"/>
      <c r="AD1702" s="2"/>
      <c r="AE1702" s="2"/>
      <c r="AF1702" s="2"/>
      <c r="AG1702" s="2"/>
    </row>
    <row r="1703" spans="29:33">
      <c r="AC1703" s="2"/>
      <c r="AD1703" s="2"/>
      <c r="AE1703" s="2"/>
      <c r="AF1703" s="2"/>
      <c r="AG1703" s="2"/>
    </row>
    <row r="1704" spans="29:33">
      <c r="AC1704" s="2"/>
      <c r="AD1704" s="2"/>
      <c r="AE1704" s="2"/>
      <c r="AF1704" s="2"/>
      <c r="AG1704" s="2"/>
    </row>
    <row r="1705" spans="29:33">
      <c r="AC1705" s="2"/>
      <c r="AD1705" s="2"/>
      <c r="AE1705" s="2"/>
      <c r="AF1705" s="2"/>
      <c r="AG1705" s="2"/>
    </row>
    <row r="1706" spans="29:33">
      <c r="AC1706" s="2"/>
      <c r="AD1706" s="2"/>
      <c r="AE1706" s="2"/>
      <c r="AF1706" s="2"/>
      <c r="AG1706" s="2"/>
    </row>
    <row r="1707" spans="29:33">
      <c r="AC1707" s="2"/>
      <c r="AD1707" s="2"/>
      <c r="AE1707" s="2"/>
      <c r="AF1707" s="2"/>
      <c r="AG1707" s="2"/>
    </row>
    <row r="1708" spans="29:33">
      <c r="AC1708" s="2"/>
      <c r="AD1708" s="2"/>
      <c r="AE1708" s="2"/>
      <c r="AF1708" s="2"/>
      <c r="AG1708" s="2"/>
    </row>
    <row r="1709" spans="29:33">
      <c r="AC1709" s="2"/>
      <c r="AD1709" s="2"/>
      <c r="AE1709" s="2"/>
      <c r="AF1709" s="2"/>
      <c r="AG1709" s="2"/>
    </row>
    <row r="1710" spans="29:33">
      <c r="AC1710" s="2"/>
      <c r="AD1710" s="2"/>
      <c r="AE1710" s="2"/>
      <c r="AF1710" s="2"/>
      <c r="AG1710" s="2"/>
    </row>
    <row r="1711" spans="29:33">
      <c r="AC1711" s="2"/>
      <c r="AD1711" s="2"/>
      <c r="AE1711" s="2"/>
      <c r="AF1711" s="2"/>
      <c r="AG1711" s="2"/>
    </row>
    <row r="1712" spans="29:33">
      <c r="AC1712" s="2"/>
      <c r="AD1712" s="2"/>
      <c r="AE1712" s="2"/>
      <c r="AF1712" s="2"/>
      <c r="AG1712" s="2"/>
    </row>
    <row r="1713" spans="29:33">
      <c r="AC1713" s="2"/>
      <c r="AD1713" s="2"/>
      <c r="AE1713" s="2"/>
      <c r="AF1713" s="2"/>
      <c r="AG1713" s="2"/>
    </row>
    <row r="1714" spans="29:33">
      <c r="AC1714" s="2"/>
      <c r="AD1714" s="2"/>
      <c r="AE1714" s="2"/>
      <c r="AF1714" s="2"/>
      <c r="AG1714" s="2"/>
    </row>
    <row r="1715" spans="29:33">
      <c r="AC1715" s="2"/>
      <c r="AD1715" s="2"/>
      <c r="AE1715" s="2"/>
      <c r="AF1715" s="2"/>
      <c r="AG1715" s="2"/>
    </row>
    <row r="1716" spans="29:33">
      <c r="AC1716" s="2"/>
      <c r="AD1716" s="2"/>
      <c r="AE1716" s="2"/>
      <c r="AF1716" s="2"/>
      <c r="AG1716" s="2"/>
    </row>
    <row r="1717" spans="29:33">
      <c r="AC1717" s="2"/>
      <c r="AD1717" s="2"/>
      <c r="AE1717" s="2"/>
      <c r="AF1717" s="2"/>
      <c r="AG1717" s="2"/>
    </row>
    <row r="1718" spans="29:33">
      <c r="AC1718" s="2"/>
      <c r="AD1718" s="2"/>
      <c r="AE1718" s="2"/>
      <c r="AF1718" s="2"/>
      <c r="AG1718" s="2"/>
    </row>
    <row r="1719" spans="29:33">
      <c r="AC1719" s="2"/>
      <c r="AD1719" s="2"/>
      <c r="AE1719" s="2"/>
      <c r="AF1719" s="2"/>
      <c r="AG1719" s="2"/>
    </row>
    <row r="1720" spans="29:33">
      <c r="AC1720" s="2"/>
      <c r="AD1720" s="2"/>
      <c r="AE1720" s="2"/>
      <c r="AF1720" s="2"/>
      <c r="AG1720" s="2"/>
    </row>
    <row r="1721" spans="29:33">
      <c r="AC1721" s="2"/>
      <c r="AD1721" s="2"/>
      <c r="AE1721" s="2"/>
      <c r="AF1721" s="2"/>
      <c r="AG1721" s="2"/>
    </row>
    <row r="1722" spans="29:33">
      <c r="AC1722" s="2"/>
      <c r="AD1722" s="2"/>
      <c r="AE1722" s="2"/>
      <c r="AF1722" s="2"/>
      <c r="AG1722" s="2"/>
    </row>
    <row r="1723" spans="29:33">
      <c r="AC1723" s="2"/>
      <c r="AD1723" s="2"/>
      <c r="AE1723" s="2"/>
      <c r="AF1723" s="2"/>
      <c r="AG1723" s="2"/>
    </row>
    <row r="1724" spans="29:33">
      <c r="AC1724" s="2"/>
      <c r="AD1724" s="2"/>
      <c r="AE1724" s="2"/>
      <c r="AF1724" s="2"/>
      <c r="AG1724" s="2"/>
    </row>
    <row r="1725" spans="29:33">
      <c r="AC1725" s="2"/>
      <c r="AD1725" s="2"/>
      <c r="AE1725" s="2"/>
      <c r="AF1725" s="2"/>
      <c r="AG1725" s="2"/>
    </row>
    <row r="1726" spans="29:33">
      <c r="AC1726" s="2"/>
      <c r="AD1726" s="2"/>
      <c r="AE1726" s="2"/>
      <c r="AF1726" s="2"/>
      <c r="AG1726" s="2"/>
    </row>
    <row r="1727" spans="29:33">
      <c r="AC1727" s="2"/>
      <c r="AD1727" s="2"/>
      <c r="AE1727" s="2"/>
      <c r="AF1727" s="2"/>
      <c r="AG1727" s="2"/>
    </row>
    <row r="1728" spans="29:33">
      <c r="AC1728" s="2"/>
      <c r="AD1728" s="2"/>
      <c r="AE1728" s="2"/>
      <c r="AF1728" s="2"/>
      <c r="AG1728" s="2"/>
    </row>
    <row r="1729" spans="29:33">
      <c r="AC1729" s="2"/>
      <c r="AD1729" s="2"/>
      <c r="AE1729" s="2"/>
      <c r="AF1729" s="2"/>
      <c r="AG1729" s="2"/>
    </row>
    <row r="1730" spans="29:33">
      <c r="AC1730" s="2"/>
      <c r="AD1730" s="2"/>
      <c r="AE1730" s="2"/>
      <c r="AF1730" s="2"/>
      <c r="AG1730" s="2"/>
    </row>
    <row r="1731" spans="29:33">
      <c r="AC1731" s="2"/>
      <c r="AD1731" s="2"/>
      <c r="AE1731" s="2"/>
      <c r="AF1731" s="2"/>
      <c r="AG1731" s="2"/>
    </row>
    <row r="1732" spans="29:33">
      <c r="AC1732" s="2"/>
      <c r="AD1732" s="2"/>
      <c r="AE1732" s="2"/>
      <c r="AF1732" s="2"/>
      <c r="AG1732" s="2"/>
    </row>
    <row r="1733" spans="29:33">
      <c r="AC1733" s="2"/>
      <c r="AD1733" s="2"/>
      <c r="AE1733" s="2"/>
      <c r="AF1733" s="2"/>
      <c r="AG1733" s="2"/>
    </row>
    <row r="1734" spans="29:33">
      <c r="AC1734" s="2"/>
      <c r="AD1734" s="2"/>
      <c r="AE1734" s="2"/>
      <c r="AF1734" s="2"/>
      <c r="AG1734" s="2"/>
    </row>
    <row r="1735" spans="29:33">
      <c r="AC1735" s="2"/>
      <c r="AD1735" s="2"/>
      <c r="AE1735" s="2"/>
      <c r="AF1735" s="2"/>
      <c r="AG1735" s="2"/>
    </row>
    <row r="1736" spans="29:33">
      <c r="AC1736" s="2"/>
      <c r="AD1736" s="2"/>
      <c r="AE1736" s="2"/>
      <c r="AF1736" s="2"/>
      <c r="AG1736" s="2"/>
    </row>
    <row r="1737" spans="29:33">
      <c r="AC1737" s="2"/>
      <c r="AD1737" s="2"/>
      <c r="AE1737" s="2"/>
      <c r="AF1737" s="2"/>
      <c r="AG1737" s="2"/>
    </row>
    <row r="1738" spans="29:33">
      <c r="AC1738" s="2"/>
      <c r="AD1738" s="2"/>
      <c r="AE1738" s="2"/>
      <c r="AF1738" s="2"/>
      <c r="AG1738" s="2"/>
    </row>
    <row r="1739" spans="29:33">
      <c r="AC1739" s="2"/>
      <c r="AD1739" s="2"/>
      <c r="AE1739" s="2"/>
      <c r="AF1739" s="2"/>
      <c r="AG1739" s="2"/>
    </row>
    <row r="1740" spans="29:33">
      <c r="AC1740" s="2"/>
      <c r="AD1740" s="2"/>
      <c r="AE1740" s="2"/>
      <c r="AF1740" s="2"/>
      <c r="AG1740" s="2"/>
    </row>
    <row r="1741" spans="29:33">
      <c r="AC1741" s="2"/>
      <c r="AD1741" s="2"/>
      <c r="AE1741" s="2"/>
      <c r="AF1741" s="2"/>
      <c r="AG1741" s="2"/>
    </row>
    <row r="1742" spans="29:33">
      <c r="AC1742" s="2"/>
      <c r="AD1742" s="2"/>
      <c r="AE1742" s="2"/>
      <c r="AF1742" s="2"/>
      <c r="AG1742" s="2"/>
    </row>
    <row r="1743" spans="29:33">
      <c r="AC1743" s="2"/>
      <c r="AD1743" s="2"/>
      <c r="AE1743" s="2"/>
      <c r="AF1743" s="2"/>
      <c r="AG1743" s="2"/>
    </row>
    <row r="1744" spans="29:33">
      <c r="AC1744" s="2"/>
      <c r="AD1744" s="2"/>
      <c r="AE1744" s="2"/>
      <c r="AF1744" s="2"/>
      <c r="AG1744" s="2"/>
    </row>
    <row r="1745" spans="29:33">
      <c r="AC1745" s="2"/>
      <c r="AD1745" s="2"/>
      <c r="AE1745" s="2"/>
      <c r="AF1745" s="2"/>
      <c r="AG1745" s="2"/>
    </row>
    <row r="1746" spans="29:33">
      <c r="AC1746" s="2"/>
      <c r="AD1746" s="2"/>
      <c r="AE1746" s="2"/>
      <c r="AF1746" s="2"/>
      <c r="AG1746" s="2"/>
    </row>
    <row r="1747" spans="29:33">
      <c r="AC1747" s="2"/>
      <c r="AD1747" s="2"/>
      <c r="AE1747" s="2"/>
      <c r="AF1747" s="2"/>
      <c r="AG1747" s="2"/>
    </row>
    <row r="1748" spans="29:33">
      <c r="AC1748" s="2"/>
      <c r="AD1748" s="2"/>
      <c r="AE1748" s="2"/>
      <c r="AF1748" s="2"/>
      <c r="AG1748" s="2"/>
    </row>
    <row r="1749" spans="29:33">
      <c r="AC1749" s="2"/>
      <c r="AD1749" s="2"/>
      <c r="AE1749" s="2"/>
      <c r="AF1749" s="2"/>
      <c r="AG1749" s="2"/>
    </row>
    <row r="1750" spans="29:33">
      <c r="AC1750" s="2"/>
      <c r="AD1750" s="2"/>
      <c r="AE1750" s="2"/>
      <c r="AF1750" s="2"/>
      <c r="AG1750" s="2"/>
    </row>
    <row r="1751" spans="29:33">
      <c r="AC1751" s="2"/>
      <c r="AD1751" s="2"/>
      <c r="AE1751" s="2"/>
      <c r="AF1751" s="2"/>
      <c r="AG1751" s="2"/>
    </row>
    <row r="1752" spans="29:33">
      <c r="AC1752" s="2"/>
      <c r="AD1752" s="2"/>
      <c r="AE1752" s="2"/>
      <c r="AF1752" s="2"/>
      <c r="AG1752" s="2"/>
    </row>
    <row r="1753" spans="29:33">
      <c r="AC1753" s="2"/>
      <c r="AD1753" s="2"/>
      <c r="AE1753" s="2"/>
      <c r="AF1753" s="2"/>
      <c r="AG1753" s="2"/>
    </row>
    <row r="1754" spans="29:33">
      <c r="AC1754" s="2"/>
      <c r="AD1754" s="2"/>
      <c r="AE1754" s="2"/>
      <c r="AF1754" s="2"/>
      <c r="AG1754" s="2"/>
    </row>
    <row r="1755" spans="29:33">
      <c r="AC1755" s="2"/>
      <c r="AD1755" s="2"/>
      <c r="AE1755" s="2"/>
      <c r="AF1755" s="2"/>
      <c r="AG1755" s="2"/>
    </row>
    <row r="1756" spans="29:33">
      <c r="AC1756" s="2"/>
      <c r="AD1756" s="2"/>
      <c r="AE1756" s="2"/>
      <c r="AF1756" s="2"/>
      <c r="AG1756" s="2"/>
    </row>
    <row r="1757" spans="29:33">
      <c r="AC1757" s="2"/>
      <c r="AD1757" s="2"/>
      <c r="AE1757" s="2"/>
      <c r="AF1757" s="2"/>
      <c r="AG1757" s="2"/>
    </row>
    <row r="1758" spans="29:33">
      <c r="AC1758" s="2"/>
      <c r="AD1758" s="2"/>
      <c r="AE1758" s="2"/>
      <c r="AF1758" s="2"/>
      <c r="AG1758" s="2"/>
    </row>
    <row r="1759" spans="29:33">
      <c r="AC1759" s="2"/>
      <c r="AD1759" s="2"/>
      <c r="AE1759" s="2"/>
      <c r="AF1759" s="2"/>
      <c r="AG1759" s="2"/>
    </row>
    <row r="1760" spans="29:33">
      <c r="AC1760" s="2"/>
      <c r="AD1760" s="2"/>
      <c r="AE1760" s="2"/>
      <c r="AF1760" s="2"/>
      <c r="AG1760" s="2"/>
    </row>
    <row r="1761" spans="29:33">
      <c r="AC1761" s="2"/>
      <c r="AD1761" s="2"/>
      <c r="AE1761" s="2"/>
      <c r="AF1761" s="2"/>
      <c r="AG1761" s="2"/>
    </row>
    <row r="1762" spans="29:33">
      <c r="AC1762" s="2"/>
      <c r="AD1762" s="2"/>
      <c r="AE1762" s="2"/>
      <c r="AF1762" s="2"/>
      <c r="AG1762" s="2"/>
    </row>
    <row r="1763" spans="29:33">
      <c r="AC1763" s="2"/>
      <c r="AD1763" s="2"/>
      <c r="AE1763" s="2"/>
      <c r="AF1763" s="2"/>
      <c r="AG1763" s="2"/>
    </row>
    <row r="1764" spans="29:33">
      <c r="AC1764" s="2"/>
      <c r="AD1764" s="2"/>
      <c r="AE1764" s="2"/>
      <c r="AF1764" s="2"/>
      <c r="AG1764" s="2"/>
    </row>
    <row r="1765" spans="29:33">
      <c r="AC1765" s="2"/>
      <c r="AD1765" s="2"/>
      <c r="AE1765" s="2"/>
      <c r="AF1765" s="2"/>
      <c r="AG1765" s="2"/>
    </row>
    <row r="1766" spans="29:33">
      <c r="AC1766" s="2"/>
      <c r="AD1766" s="2"/>
      <c r="AE1766" s="2"/>
      <c r="AF1766" s="2"/>
      <c r="AG1766" s="2"/>
    </row>
    <row r="1767" spans="29:33">
      <c r="AC1767" s="2"/>
      <c r="AD1767" s="2"/>
      <c r="AE1767" s="2"/>
      <c r="AF1767" s="2"/>
      <c r="AG1767" s="2"/>
    </row>
    <row r="1768" spans="29:33">
      <c r="AC1768" s="2"/>
      <c r="AD1768" s="2"/>
      <c r="AE1768" s="2"/>
      <c r="AF1768" s="2"/>
      <c r="AG1768" s="2"/>
    </row>
    <row r="1769" spans="29:33">
      <c r="AC1769" s="2"/>
      <c r="AD1769" s="2"/>
      <c r="AE1769" s="2"/>
      <c r="AF1769" s="2"/>
      <c r="AG1769" s="2"/>
    </row>
    <row r="1770" spans="29:33">
      <c r="AC1770" s="2"/>
      <c r="AD1770" s="2"/>
      <c r="AE1770" s="2"/>
      <c r="AF1770" s="2"/>
      <c r="AG1770" s="2"/>
    </row>
    <row r="1771" spans="29:33">
      <c r="AC1771" s="2"/>
      <c r="AD1771" s="2"/>
      <c r="AE1771" s="2"/>
      <c r="AF1771" s="2"/>
      <c r="AG1771" s="2"/>
    </row>
    <row r="1772" spans="29:33">
      <c r="AC1772" s="2"/>
      <c r="AD1772" s="2"/>
      <c r="AE1772" s="2"/>
      <c r="AF1772" s="2"/>
      <c r="AG1772" s="2"/>
    </row>
    <row r="1773" spans="29:33">
      <c r="AC1773" s="2"/>
      <c r="AD1773" s="2"/>
      <c r="AE1773" s="2"/>
      <c r="AF1773" s="2"/>
      <c r="AG1773" s="2"/>
    </row>
    <row r="1774" spans="29:33">
      <c r="AC1774" s="2"/>
      <c r="AD1774" s="2"/>
      <c r="AE1774" s="2"/>
      <c r="AF1774" s="2"/>
      <c r="AG1774" s="2"/>
    </row>
    <row r="1775" spans="29:33">
      <c r="AC1775" s="2"/>
      <c r="AD1775" s="2"/>
      <c r="AE1775" s="2"/>
      <c r="AF1775" s="2"/>
      <c r="AG1775" s="2"/>
    </row>
    <row r="1776" spans="29:33">
      <c r="AC1776" s="2"/>
      <c r="AD1776" s="2"/>
      <c r="AE1776" s="2"/>
      <c r="AF1776" s="2"/>
      <c r="AG1776" s="2"/>
    </row>
    <row r="1777" spans="29:33">
      <c r="AC1777" s="2"/>
      <c r="AD1777" s="2"/>
      <c r="AE1777" s="2"/>
      <c r="AF1777" s="2"/>
      <c r="AG1777" s="2"/>
    </row>
    <row r="1778" spans="29:33">
      <c r="AC1778" s="2"/>
      <c r="AD1778" s="2"/>
      <c r="AE1778" s="2"/>
      <c r="AF1778" s="2"/>
      <c r="AG1778" s="2"/>
    </row>
    <row r="1779" spans="29:33">
      <c r="AC1779" s="2"/>
      <c r="AD1779" s="2"/>
      <c r="AE1779" s="2"/>
      <c r="AF1779" s="2"/>
      <c r="AG1779" s="2"/>
    </row>
    <row r="1780" spans="29:33">
      <c r="AC1780" s="2"/>
      <c r="AD1780" s="2"/>
      <c r="AE1780" s="2"/>
      <c r="AF1780" s="2"/>
      <c r="AG1780" s="2"/>
    </row>
    <row r="1781" spans="29:33">
      <c r="AC1781" s="2"/>
      <c r="AD1781" s="2"/>
      <c r="AE1781" s="2"/>
      <c r="AF1781" s="2"/>
      <c r="AG1781" s="2"/>
    </row>
    <row r="1782" spans="29:33">
      <c r="AC1782" s="2"/>
      <c r="AD1782" s="2"/>
      <c r="AE1782" s="2"/>
      <c r="AF1782" s="2"/>
      <c r="AG1782" s="2"/>
    </row>
    <row r="1783" spans="29:33">
      <c r="AC1783" s="2"/>
      <c r="AD1783" s="2"/>
      <c r="AE1783" s="2"/>
      <c r="AF1783" s="2"/>
      <c r="AG1783" s="2"/>
    </row>
    <row r="1784" spans="29:33">
      <c r="AC1784" s="2"/>
      <c r="AD1784" s="2"/>
      <c r="AE1784" s="2"/>
      <c r="AF1784" s="2"/>
      <c r="AG1784" s="2"/>
    </row>
    <row r="1785" spans="29:33">
      <c r="AC1785" s="2"/>
      <c r="AD1785" s="2"/>
      <c r="AE1785" s="2"/>
      <c r="AF1785" s="2"/>
      <c r="AG1785" s="2"/>
    </row>
    <row r="1786" spans="29:33">
      <c r="AC1786" s="2"/>
      <c r="AD1786" s="2"/>
      <c r="AE1786" s="2"/>
      <c r="AF1786" s="2"/>
      <c r="AG1786" s="2"/>
    </row>
    <row r="1787" spans="29:33">
      <c r="AC1787" s="2"/>
      <c r="AD1787" s="2"/>
      <c r="AE1787" s="2"/>
      <c r="AF1787" s="2"/>
      <c r="AG1787" s="2"/>
    </row>
    <row r="1788" spans="29:33">
      <c r="AC1788" s="2"/>
      <c r="AD1788" s="2"/>
      <c r="AE1788" s="2"/>
      <c r="AF1788" s="2"/>
      <c r="AG1788" s="2"/>
    </row>
    <row r="1789" spans="29:33">
      <c r="AC1789" s="2"/>
      <c r="AD1789" s="2"/>
      <c r="AE1789" s="2"/>
      <c r="AF1789" s="2"/>
      <c r="AG1789" s="2"/>
    </row>
    <row r="1790" spans="29:33">
      <c r="AC1790" s="2"/>
      <c r="AD1790" s="2"/>
      <c r="AE1790" s="2"/>
      <c r="AF1790" s="2"/>
      <c r="AG1790" s="2"/>
    </row>
    <row r="1791" spans="29:33">
      <c r="AC1791" s="2"/>
      <c r="AD1791" s="2"/>
      <c r="AE1791" s="2"/>
      <c r="AF1791" s="2"/>
      <c r="AG1791" s="2"/>
    </row>
    <row r="1792" spans="29:33">
      <c r="AC1792" s="2"/>
      <c r="AD1792" s="2"/>
      <c r="AE1792" s="2"/>
      <c r="AF1792" s="2"/>
      <c r="AG1792" s="2"/>
    </row>
    <row r="1793" spans="29:33">
      <c r="AC1793" s="2"/>
      <c r="AD1793" s="2"/>
      <c r="AE1793" s="2"/>
      <c r="AF1793" s="2"/>
      <c r="AG1793" s="2"/>
    </row>
    <row r="1794" spans="29:33">
      <c r="AC1794" s="2"/>
      <c r="AD1794" s="2"/>
      <c r="AE1794" s="2"/>
      <c r="AF1794" s="2"/>
      <c r="AG1794" s="2"/>
    </row>
    <row r="1795" spans="29:33">
      <c r="AC1795" s="2"/>
      <c r="AD1795" s="2"/>
      <c r="AE1795" s="2"/>
      <c r="AF1795" s="2"/>
      <c r="AG1795" s="2"/>
    </row>
    <row r="1796" spans="29:33">
      <c r="AC1796" s="2"/>
      <c r="AD1796" s="2"/>
      <c r="AE1796" s="2"/>
      <c r="AF1796" s="2"/>
      <c r="AG1796" s="2"/>
    </row>
    <row r="1797" spans="29:33">
      <c r="AC1797" s="2"/>
      <c r="AD1797" s="2"/>
      <c r="AE1797" s="2"/>
      <c r="AF1797" s="2"/>
      <c r="AG1797" s="2"/>
    </row>
    <row r="1798" spans="29:33">
      <c r="AC1798" s="2"/>
      <c r="AD1798" s="2"/>
      <c r="AE1798" s="2"/>
      <c r="AF1798" s="2"/>
      <c r="AG1798" s="2"/>
    </row>
    <row r="1799" spans="29:33">
      <c r="AC1799" s="2"/>
      <c r="AD1799" s="2"/>
      <c r="AE1799" s="2"/>
      <c r="AF1799" s="2"/>
      <c r="AG1799" s="2"/>
    </row>
    <row r="1800" spans="29:33">
      <c r="AC1800" s="2"/>
      <c r="AD1800" s="2"/>
      <c r="AE1800" s="2"/>
      <c r="AF1800" s="2"/>
      <c r="AG1800" s="2"/>
    </row>
    <row r="1801" spans="29:33">
      <c r="AC1801" s="2"/>
      <c r="AD1801" s="2"/>
      <c r="AE1801" s="2"/>
      <c r="AF1801" s="2"/>
      <c r="AG1801" s="2"/>
    </row>
    <row r="1802" spans="29:33">
      <c r="AC1802" s="2"/>
      <c r="AD1802" s="2"/>
      <c r="AE1802" s="2"/>
      <c r="AF1802" s="2"/>
      <c r="AG1802" s="2"/>
    </row>
    <row r="1803" spans="29:33">
      <c r="AC1803" s="2"/>
      <c r="AD1803" s="2"/>
      <c r="AE1803" s="2"/>
      <c r="AF1803" s="2"/>
      <c r="AG1803" s="2"/>
    </row>
    <row r="1804" spans="29:33">
      <c r="AC1804" s="2"/>
      <c r="AD1804" s="2"/>
      <c r="AE1804" s="2"/>
      <c r="AF1804" s="2"/>
      <c r="AG1804" s="2"/>
    </row>
    <row r="1805" spans="29:33">
      <c r="AC1805" s="2"/>
      <c r="AD1805" s="2"/>
      <c r="AE1805" s="2"/>
      <c r="AF1805" s="2"/>
      <c r="AG1805" s="2"/>
    </row>
    <row r="1806" spans="29:33">
      <c r="AC1806" s="2"/>
      <c r="AD1806" s="2"/>
      <c r="AE1806" s="2"/>
      <c r="AF1806" s="2"/>
      <c r="AG1806" s="2"/>
    </row>
    <row r="1807" spans="29:33">
      <c r="AC1807" s="2"/>
      <c r="AD1807" s="2"/>
      <c r="AE1807" s="2"/>
      <c r="AF1807" s="2"/>
      <c r="AG1807" s="2"/>
    </row>
    <row r="1808" spans="29:33">
      <c r="AC1808" s="2"/>
      <c r="AD1808" s="2"/>
      <c r="AE1808" s="2"/>
      <c r="AF1808" s="2"/>
      <c r="AG1808" s="2"/>
    </row>
    <row r="1809" spans="29:33">
      <c r="AC1809" s="2"/>
      <c r="AD1809" s="2"/>
      <c r="AE1809" s="2"/>
      <c r="AF1809" s="2"/>
      <c r="AG1809" s="2"/>
    </row>
    <row r="1810" spans="29:33">
      <c r="AC1810" s="2"/>
      <c r="AD1810" s="2"/>
      <c r="AE1810" s="2"/>
      <c r="AF1810" s="2"/>
      <c r="AG1810" s="2"/>
    </row>
    <row r="1811" spans="29:33">
      <c r="AC1811" s="2"/>
      <c r="AD1811" s="2"/>
      <c r="AE1811" s="2"/>
      <c r="AF1811" s="2"/>
      <c r="AG1811" s="2"/>
    </row>
    <row r="1812" spans="29:33">
      <c r="AC1812" s="2"/>
      <c r="AD1812" s="2"/>
      <c r="AE1812" s="2"/>
      <c r="AF1812" s="2"/>
      <c r="AG1812" s="2"/>
    </row>
    <row r="1813" spans="29:33">
      <c r="AC1813" s="2"/>
      <c r="AD1813" s="2"/>
      <c r="AE1813" s="2"/>
      <c r="AF1813" s="2"/>
      <c r="AG1813" s="2"/>
    </row>
    <row r="1814" spans="29:33">
      <c r="AC1814" s="2"/>
      <c r="AD1814" s="2"/>
      <c r="AE1814" s="2"/>
      <c r="AF1814" s="2"/>
      <c r="AG1814" s="2"/>
    </row>
    <row r="1815" spans="29:33">
      <c r="AC1815" s="2"/>
      <c r="AD1815" s="2"/>
      <c r="AE1815" s="2"/>
      <c r="AF1815" s="2"/>
      <c r="AG1815" s="2"/>
    </row>
    <row r="1816" spans="29:33">
      <c r="AC1816" s="2"/>
      <c r="AD1816" s="2"/>
      <c r="AE1816" s="2"/>
      <c r="AF1816" s="2"/>
      <c r="AG1816" s="2"/>
    </row>
    <row r="1817" spans="29:33">
      <c r="AC1817" s="2"/>
      <c r="AD1817" s="2"/>
      <c r="AE1817" s="2"/>
      <c r="AF1817" s="2"/>
      <c r="AG1817" s="2"/>
    </row>
    <row r="1818" spans="29:33">
      <c r="AC1818" s="2"/>
      <c r="AD1818" s="2"/>
      <c r="AE1818" s="2"/>
      <c r="AF1818" s="2"/>
      <c r="AG1818" s="2"/>
    </row>
    <row r="1819" spans="29:33">
      <c r="AC1819" s="2"/>
      <c r="AD1819" s="2"/>
      <c r="AE1819" s="2"/>
      <c r="AF1819" s="2"/>
      <c r="AG1819" s="2"/>
    </row>
    <row r="1820" spans="29:33">
      <c r="AC1820" s="2"/>
      <c r="AD1820" s="2"/>
      <c r="AE1820" s="2"/>
      <c r="AF1820" s="2"/>
      <c r="AG1820" s="2"/>
    </row>
    <row r="1821" spans="29:33">
      <c r="AC1821" s="2"/>
      <c r="AD1821" s="2"/>
      <c r="AE1821" s="2"/>
      <c r="AF1821" s="2"/>
      <c r="AG1821" s="2"/>
    </row>
    <row r="1822" spans="29:33">
      <c r="AC1822" s="2"/>
      <c r="AD1822" s="2"/>
      <c r="AE1822" s="2"/>
      <c r="AF1822" s="2"/>
      <c r="AG1822" s="2"/>
    </row>
    <row r="1823" spans="29:33">
      <c r="AC1823" s="2"/>
      <c r="AD1823" s="2"/>
      <c r="AE1823" s="2"/>
      <c r="AF1823" s="2"/>
      <c r="AG1823" s="2"/>
    </row>
    <row r="1824" spans="29:33">
      <c r="AC1824" s="2"/>
      <c r="AD1824" s="2"/>
      <c r="AE1824" s="2"/>
      <c r="AF1824" s="2"/>
      <c r="AG1824" s="2"/>
    </row>
    <row r="1825" spans="29:33">
      <c r="AC1825" s="2"/>
      <c r="AD1825" s="2"/>
      <c r="AE1825" s="2"/>
      <c r="AF1825" s="2"/>
      <c r="AG1825" s="2"/>
    </row>
    <row r="1826" spans="29:33">
      <c r="AC1826" s="2"/>
      <c r="AD1826" s="2"/>
      <c r="AE1826" s="2"/>
      <c r="AF1826" s="2"/>
      <c r="AG1826" s="2"/>
    </row>
    <row r="1827" spans="29:33">
      <c r="AC1827" s="2"/>
      <c r="AD1827" s="2"/>
      <c r="AE1827" s="2"/>
      <c r="AF1827" s="2"/>
      <c r="AG1827" s="2"/>
    </row>
    <row r="1828" spans="29:33">
      <c r="AC1828" s="2"/>
      <c r="AD1828" s="2"/>
      <c r="AE1828" s="2"/>
      <c r="AF1828" s="2"/>
      <c r="AG1828" s="2"/>
    </row>
    <row r="1829" spans="29:33">
      <c r="AC1829" s="2"/>
      <c r="AD1829" s="2"/>
      <c r="AE1829" s="2"/>
      <c r="AF1829" s="2"/>
      <c r="AG1829" s="2"/>
    </row>
    <row r="1830" spans="29:33">
      <c r="AC1830" s="2"/>
      <c r="AD1830" s="2"/>
      <c r="AE1830" s="2"/>
      <c r="AF1830" s="2"/>
      <c r="AG1830" s="2"/>
    </row>
    <row r="1831" spans="29:33">
      <c r="AC1831" s="2"/>
      <c r="AD1831" s="2"/>
      <c r="AE1831" s="2"/>
      <c r="AF1831" s="2"/>
      <c r="AG1831" s="2"/>
    </row>
    <row r="1832" spans="29:33">
      <c r="AC1832" s="2"/>
      <c r="AD1832" s="2"/>
      <c r="AE1832" s="2"/>
      <c r="AF1832" s="2"/>
      <c r="AG1832" s="2"/>
    </row>
    <row r="1833" spans="29:33">
      <c r="AC1833" s="2"/>
      <c r="AD1833" s="2"/>
      <c r="AE1833" s="2"/>
      <c r="AF1833" s="2"/>
      <c r="AG1833" s="2"/>
    </row>
    <row r="1834" spans="29:33">
      <c r="AC1834" s="2"/>
      <c r="AD1834" s="2"/>
      <c r="AE1834" s="2"/>
      <c r="AF1834" s="2"/>
      <c r="AG1834" s="2"/>
    </row>
    <row r="1835" spans="29:33">
      <c r="AC1835" s="2"/>
      <c r="AD1835" s="2"/>
      <c r="AE1835" s="2"/>
      <c r="AF1835" s="2"/>
      <c r="AG1835" s="2"/>
    </row>
    <row r="1836" spans="29:33">
      <c r="AC1836" s="2"/>
      <c r="AD1836" s="2"/>
      <c r="AE1836" s="2"/>
      <c r="AF1836" s="2"/>
      <c r="AG1836" s="2"/>
    </row>
    <row r="1837" spans="29:33">
      <c r="AC1837" s="2"/>
      <c r="AD1837" s="2"/>
      <c r="AE1837" s="2"/>
      <c r="AF1837" s="2"/>
      <c r="AG1837" s="2"/>
    </row>
    <row r="1838" spans="29:33">
      <c r="AC1838" s="2"/>
      <c r="AD1838" s="2"/>
      <c r="AE1838" s="2"/>
      <c r="AF1838" s="2"/>
      <c r="AG1838" s="2"/>
    </row>
    <row r="1839" spans="29:33">
      <c r="AC1839" s="2"/>
      <c r="AD1839" s="2"/>
      <c r="AE1839" s="2"/>
      <c r="AF1839" s="2"/>
      <c r="AG1839" s="2"/>
    </row>
    <row r="1840" spans="29:33">
      <c r="AC1840" s="2"/>
      <c r="AD1840" s="2"/>
      <c r="AE1840" s="2"/>
      <c r="AF1840" s="2"/>
      <c r="AG1840" s="2"/>
    </row>
    <row r="1841" spans="29:33">
      <c r="AC1841" s="2"/>
      <c r="AD1841" s="2"/>
      <c r="AE1841" s="2"/>
      <c r="AF1841" s="2"/>
      <c r="AG1841" s="2"/>
    </row>
    <row r="1842" spans="29:33">
      <c r="AC1842" s="2"/>
      <c r="AD1842" s="2"/>
      <c r="AE1842" s="2"/>
      <c r="AF1842" s="2"/>
      <c r="AG1842" s="2"/>
    </row>
    <row r="1843" spans="29:33">
      <c r="AC1843" s="2"/>
      <c r="AD1843" s="2"/>
      <c r="AE1843" s="2"/>
      <c r="AF1843" s="2"/>
      <c r="AG1843" s="2"/>
    </row>
    <row r="1844" spans="29:33">
      <c r="AC1844" s="2"/>
      <c r="AD1844" s="2"/>
      <c r="AE1844" s="2"/>
      <c r="AF1844" s="2"/>
      <c r="AG1844" s="2"/>
    </row>
    <row r="1845" spans="29:33">
      <c r="AC1845" s="2"/>
      <c r="AD1845" s="2"/>
      <c r="AE1845" s="2"/>
      <c r="AF1845" s="2"/>
      <c r="AG1845" s="2"/>
    </row>
    <row r="1846" spans="29:33">
      <c r="AC1846" s="2"/>
      <c r="AD1846" s="2"/>
      <c r="AE1846" s="2"/>
      <c r="AF1846" s="2"/>
      <c r="AG1846" s="2"/>
    </row>
    <row r="1847" spans="29:33">
      <c r="AC1847" s="2"/>
      <c r="AD1847" s="2"/>
      <c r="AE1847" s="2"/>
      <c r="AF1847" s="2"/>
      <c r="AG1847" s="2"/>
    </row>
    <row r="1848" spans="29:33">
      <c r="AC1848" s="2"/>
      <c r="AD1848" s="2"/>
      <c r="AE1848" s="2"/>
      <c r="AF1848" s="2"/>
      <c r="AG1848" s="2"/>
    </row>
    <row r="1849" spans="29:33">
      <c r="AC1849" s="2"/>
      <c r="AD1849" s="2"/>
      <c r="AE1849" s="2"/>
      <c r="AF1849" s="2"/>
      <c r="AG1849" s="2"/>
    </row>
    <row r="1850" spans="29:33">
      <c r="AC1850" s="2"/>
      <c r="AD1850" s="2"/>
      <c r="AE1850" s="2"/>
      <c r="AF1850" s="2"/>
      <c r="AG1850" s="2"/>
    </row>
    <row r="1851" spans="29:33">
      <c r="AC1851" s="2"/>
      <c r="AD1851" s="2"/>
      <c r="AE1851" s="2"/>
      <c r="AF1851" s="2"/>
      <c r="AG1851" s="2"/>
    </row>
    <row r="1852" spans="29:33">
      <c r="AC1852" s="2"/>
      <c r="AD1852" s="2"/>
      <c r="AE1852" s="2"/>
      <c r="AF1852" s="2"/>
      <c r="AG1852" s="2"/>
    </row>
    <row r="1853" spans="29:33">
      <c r="AC1853" s="2"/>
      <c r="AD1853" s="2"/>
      <c r="AE1853" s="2"/>
      <c r="AF1853" s="2"/>
      <c r="AG1853" s="2"/>
    </row>
    <row r="1854" spans="29:33">
      <c r="AC1854" s="2"/>
      <c r="AD1854" s="2"/>
      <c r="AE1854" s="2"/>
      <c r="AF1854" s="2"/>
      <c r="AG1854" s="2"/>
    </row>
    <row r="1855" spans="29:33">
      <c r="AC1855" s="2"/>
      <c r="AD1855" s="2"/>
      <c r="AE1855" s="2"/>
      <c r="AF1855" s="2"/>
      <c r="AG1855" s="2"/>
    </row>
    <row r="1856" spans="29:33">
      <c r="AC1856" s="2"/>
      <c r="AD1856" s="2"/>
      <c r="AE1856" s="2"/>
      <c r="AF1856" s="2"/>
      <c r="AG1856" s="2"/>
    </row>
    <row r="1857" spans="29:33">
      <c r="AC1857" s="2"/>
      <c r="AD1857" s="2"/>
      <c r="AE1857" s="2"/>
      <c r="AF1857" s="2"/>
      <c r="AG1857" s="2"/>
    </row>
    <row r="1858" spans="29:33">
      <c r="AC1858" s="2"/>
      <c r="AD1858" s="2"/>
      <c r="AE1858" s="2"/>
      <c r="AF1858" s="2"/>
      <c r="AG1858" s="2"/>
    </row>
    <row r="1859" spans="29:33">
      <c r="AC1859" s="2"/>
      <c r="AD1859" s="2"/>
      <c r="AE1859" s="2"/>
      <c r="AF1859" s="2"/>
      <c r="AG1859" s="2"/>
    </row>
    <row r="1860" spans="29:33">
      <c r="AC1860" s="2"/>
      <c r="AD1860" s="2"/>
      <c r="AE1860" s="2"/>
      <c r="AF1860" s="2"/>
      <c r="AG1860" s="2"/>
    </row>
    <row r="1861" spans="29:33">
      <c r="AC1861" s="2"/>
      <c r="AD1861" s="2"/>
      <c r="AE1861" s="2"/>
      <c r="AF1861" s="2"/>
      <c r="AG1861" s="2"/>
    </row>
    <row r="1862" spans="29:33">
      <c r="AC1862" s="2"/>
      <c r="AD1862" s="2"/>
      <c r="AE1862" s="2"/>
      <c r="AF1862" s="2"/>
      <c r="AG1862" s="2"/>
    </row>
    <row r="1863" spans="29:33">
      <c r="AC1863" s="2"/>
      <c r="AD1863" s="2"/>
      <c r="AE1863" s="2"/>
      <c r="AF1863" s="2"/>
      <c r="AG1863" s="2"/>
    </row>
    <row r="1864" spans="29:33">
      <c r="AC1864" s="2"/>
      <c r="AD1864" s="2"/>
      <c r="AE1864" s="2"/>
      <c r="AF1864" s="2"/>
      <c r="AG1864" s="2"/>
    </row>
    <row r="1865" spans="29:33">
      <c r="AC1865" s="2"/>
      <c r="AD1865" s="2"/>
      <c r="AE1865" s="2"/>
      <c r="AF1865" s="2"/>
      <c r="AG1865" s="2"/>
    </row>
    <row r="1866" spans="29:33">
      <c r="AC1866" s="2"/>
      <c r="AD1866" s="2"/>
      <c r="AE1866" s="2"/>
      <c r="AF1866" s="2"/>
      <c r="AG1866" s="2"/>
    </row>
    <row r="1867" spans="29:33">
      <c r="AC1867" s="2"/>
      <c r="AD1867" s="2"/>
      <c r="AE1867" s="2"/>
      <c r="AF1867" s="2"/>
      <c r="AG1867" s="2"/>
    </row>
    <row r="1868" spans="29:33">
      <c r="AC1868" s="2"/>
      <c r="AD1868" s="2"/>
      <c r="AE1868" s="2"/>
      <c r="AF1868" s="2"/>
      <c r="AG1868" s="2"/>
    </row>
    <row r="1869" spans="29:33">
      <c r="AC1869" s="2"/>
      <c r="AD1869" s="2"/>
      <c r="AE1869" s="2"/>
      <c r="AF1869" s="2"/>
      <c r="AG1869" s="2"/>
    </row>
    <row r="1870" spans="29:33">
      <c r="AC1870" s="2"/>
      <c r="AD1870" s="2"/>
      <c r="AE1870" s="2"/>
      <c r="AF1870" s="2"/>
      <c r="AG1870" s="2"/>
    </row>
    <row r="1871" spans="29:33">
      <c r="AC1871" s="2"/>
      <c r="AD1871" s="2"/>
      <c r="AE1871" s="2"/>
      <c r="AF1871" s="2"/>
      <c r="AG1871" s="2"/>
    </row>
    <row r="1872" spans="29:33">
      <c r="AC1872" s="2"/>
      <c r="AD1872" s="2"/>
      <c r="AE1872" s="2"/>
      <c r="AF1872" s="2"/>
      <c r="AG1872" s="2"/>
    </row>
    <row r="1873" spans="29:33">
      <c r="AC1873" s="2"/>
      <c r="AD1873" s="2"/>
      <c r="AE1873" s="2"/>
      <c r="AF1873" s="2"/>
      <c r="AG1873" s="2"/>
    </row>
    <row r="1874" spans="29:33">
      <c r="AC1874" s="2"/>
      <c r="AD1874" s="2"/>
      <c r="AE1874" s="2"/>
      <c r="AF1874" s="2"/>
      <c r="AG1874" s="2"/>
    </row>
    <row r="1875" spans="29:33">
      <c r="AC1875" s="2"/>
      <c r="AD1875" s="2"/>
      <c r="AE1875" s="2"/>
      <c r="AF1875" s="2"/>
      <c r="AG1875" s="2"/>
    </row>
    <row r="1876" spans="29:33">
      <c r="AC1876" s="2"/>
      <c r="AD1876" s="2"/>
      <c r="AE1876" s="2"/>
      <c r="AF1876" s="2"/>
      <c r="AG1876" s="2"/>
    </row>
    <row r="1877" spans="29:33">
      <c r="AC1877" s="2"/>
      <c r="AD1877" s="2"/>
      <c r="AE1877" s="2"/>
      <c r="AF1877" s="2"/>
      <c r="AG1877" s="2"/>
    </row>
    <row r="1878" spans="29:33">
      <c r="AC1878" s="2"/>
      <c r="AD1878" s="2"/>
      <c r="AE1878" s="2"/>
      <c r="AF1878" s="2"/>
      <c r="AG1878" s="2"/>
    </row>
    <row r="1879" spans="29:33">
      <c r="AC1879" s="2"/>
      <c r="AD1879" s="2"/>
      <c r="AE1879" s="2"/>
      <c r="AF1879" s="2"/>
      <c r="AG1879" s="2"/>
    </row>
    <row r="1880" spans="29:33">
      <c r="AC1880" s="2"/>
      <c r="AD1880" s="2"/>
      <c r="AE1880" s="2"/>
      <c r="AF1880" s="2"/>
      <c r="AG1880" s="2"/>
    </row>
    <row r="1881" spans="29:33">
      <c r="AC1881" s="2"/>
      <c r="AD1881" s="2"/>
      <c r="AE1881" s="2"/>
      <c r="AF1881" s="2"/>
      <c r="AG1881" s="2"/>
    </row>
    <row r="1882" spans="29:33">
      <c r="AC1882" s="2"/>
      <c r="AD1882" s="2"/>
      <c r="AE1882" s="2"/>
      <c r="AF1882" s="2"/>
      <c r="AG1882" s="2"/>
    </row>
    <row r="1883" spans="29:33">
      <c r="AC1883" s="2"/>
      <c r="AD1883" s="2"/>
      <c r="AE1883" s="2"/>
      <c r="AF1883" s="2"/>
      <c r="AG1883" s="2"/>
    </row>
    <row r="1884" spans="29:33">
      <c r="AC1884" s="2"/>
      <c r="AD1884" s="2"/>
      <c r="AE1884" s="2"/>
      <c r="AF1884" s="2"/>
      <c r="AG1884" s="2"/>
    </row>
    <row r="1885" spans="29:33">
      <c r="AC1885" s="2"/>
      <c r="AD1885" s="2"/>
      <c r="AE1885" s="2"/>
      <c r="AF1885" s="2"/>
      <c r="AG1885" s="2"/>
    </row>
    <row r="1886" spans="29:33">
      <c r="AC1886" s="2"/>
      <c r="AD1886" s="2"/>
      <c r="AE1886" s="2"/>
      <c r="AF1886" s="2"/>
      <c r="AG1886" s="2"/>
    </row>
    <row r="1887" spans="29:33">
      <c r="AC1887" s="2"/>
      <c r="AD1887" s="2"/>
      <c r="AE1887" s="2"/>
      <c r="AF1887" s="2"/>
      <c r="AG1887" s="2"/>
    </row>
    <row r="1888" spans="29:33">
      <c r="AC1888" s="2"/>
      <c r="AD1888" s="2"/>
      <c r="AE1888" s="2"/>
      <c r="AF1888" s="2"/>
      <c r="AG1888" s="2"/>
    </row>
    <row r="1889" spans="29:33">
      <c r="AC1889" s="2"/>
      <c r="AD1889" s="2"/>
      <c r="AE1889" s="2"/>
      <c r="AF1889" s="2"/>
      <c r="AG1889" s="2"/>
    </row>
    <row r="1890" spans="29:33">
      <c r="AC1890" s="2"/>
      <c r="AD1890" s="2"/>
      <c r="AE1890" s="2"/>
      <c r="AF1890" s="2"/>
      <c r="AG1890" s="2"/>
    </row>
    <row r="1891" spans="29:33">
      <c r="AC1891" s="2"/>
      <c r="AD1891" s="2"/>
      <c r="AE1891" s="2"/>
      <c r="AF1891" s="2"/>
      <c r="AG1891" s="2"/>
    </row>
    <row r="1892" spans="29:33">
      <c r="AC1892" s="2"/>
      <c r="AD1892" s="2"/>
      <c r="AE1892" s="2"/>
      <c r="AF1892" s="2"/>
      <c r="AG1892" s="2"/>
    </row>
    <row r="1893" spans="29:33">
      <c r="AC1893" s="2"/>
      <c r="AD1893" s="2"/>
      <c r="AE1893" s="2"/>
      <c r="AF1893" s="2"/>
      <c r="AG1893" s="2"/>
    </row>
    <row r="1894" spans="29:33">
      <c r="AC1894" s="2"/>
      <c r="AD1894" s="2"/>
      <c r="AE1894" s="2"/>
      <c r="AF1894" s="2"/>
      <c r="AG1894" s="2"/>
    </row>
    <row r="1895" spans="29:33">
      <c r="AC1895" s="2"/>
      <c r="AD1895" s="2"/>
      <c r="AE1895" s="2"/>
      <c r="AF1895" s="2"/>
      <c r="AG1895" s="2"/>
    </row>
    <row r="1896" spans="29:33">
      <c r="AC1896" s="2"/>
      <c r="AD1896" s="2"/>
      <c r="AE1896" s="2"/>
      <c r="AF1896" s="2"/>
      <c r="AG1896" s="2"/>
    </row>
    <row r="1897" spans="29:33">
      <c r="AC1897" s="2"/>
      <c r="AD1897" s="2"/>
      <c r="AE1897" s="2"/>
      <c r="AF1897" s="2"/>
      <c r="AG1897" s="2"/>
    </row>
    <row r="1898" spans="29:33">
      <c r="AC1898" s="2"/>
      <c r="AD1898" s="2"/>
      <c r="AE1898" s="2"/>
      <c r="AF1898" s="2"/>
      <c r="AG1898" s="2"/>
    </row>
    <row r="1899" spans="29:33">
      <c r="AC1899" s="2"/>
      <c r="AD1899" s="2"/>
      <c r="AE1899" s="2"/>
      <c r="AF1899" s="2"/>
      <c r="AG1899" s="2"/>
    </row>
    <row r="1900" spans="29:33">
      <c r="AC1900" s="2"/>
      <c r="AD1900" s="2"/>
      <c r="AE1900" s="2"/>
      <c r="AF1900" s="2"/>
      <c r="AG1900" s="2"/>
    </row>
    <row r="1901" spans="29:33">
      <c r="AC1901" s="2"/>
      <c r="AD1901" s="2"/>
      <c r="AE1901" s="2"/>
      <c r="AF1901" s="2"/>
      <c r="AG1901" s="2"/>
    </row>
    <row r="1902" spans="29:33">
      <c r="AC1902" s="2"/>
      <c r="AD1902" s="2"/>
      <c r="AE1902" s="2"/>
      <c r="AF1902" s="2"/>
      <c r="AG1902" s="2"/>
    </row>
    <row r="1903" spans="29:33">
      <c r="AC1903" s="2"/>
      <c r="AD1903" s="2"/>
      <c r="AE1903" s="2"/>
      <c r="AF1903" s="2"/>
      <c r="AG1903" s="2"/>
    </row>
    <row r="1904" spans="29:33">
      <c r="AC1904" s="2"/>
      <c r="AD1904" s="2"/>
      <c r="AE1904" s="2"/>
      <c r="AF1904" s="2"/>
      <c r="AG1904" s="2"/>
    </row>
    <row r="1905" spans="29:33">
      <c r="AC1905" s="2"/>
      <c r="AD1905" s="2"/>
      <c r="AE1905" s="2"/>
      <c r="AF1905" s="2"/>
      <c r="AG1905" s="2"/>
    </row>
    <row r="1906" spans="29:33">
      <c r="AC1906" s="2"/>
      <c r="AD1906" s="2"/>
      <c r="AE1906" s="2"/>
      <c r="AF1906" s="2"/>
      <c r="AG1906" s="2"/>
    </row>
    <row r="1907" spans="29:33">
      <c r="AC1907" s="2"/>
      <c r="AD1907" s="2"/>
      <c r="AE1907" s="2"/>
      <c r="AF1907" s="2"/>
      <c r="AG1907" s="2"/>
    </row>
    <row r="1908" spans="29:33">
      <c r="AC1908" s="2"/>
      <c r="AD1908" s="2"/>
      <c r="AE1908" s="2"/>
      <c r="AF1908" s="2"/>
      <c r="AG1908" s="2"/>
    </row>
    <row r="1909" spans="29:33">
      <c r="AC1909" s="2"/>
      <c r="AD1909" s="2"/>
      <c r="AE1909" s="2"/>
      <c r="AF1909" s="2"/>
      <c r="AG1909" s="2"/>
    </row>
    <row r="1910" spans="29:33">
      <c r="AC1910" s="2"/>
      <c r="AD1910" s="2"/>
      <c r="AE1910" s="2"/>
      <c r="AF1910" s="2"/>
      <c r="AG1910" s="2"/>
    </row>
    <row r="1911" spans="29:33">
      <c r="AC1911" s="2"/>
      <c r="AD1911" s="2"/>
      <c r="AE1911" s="2"/>
      <c r="AF1911" s="2"/>
      <c r="AG1911" s="2"/>
    </row>
    <row r="1912" spans="29:33">
      <c r="AC1912" s="2"/>
      <c r="AD1912" s="2"/>
      <c r="AE1912" s="2"/>
      <c r="AF1912" s="2"/>
      <c r="AG1912" s="2"/>
    </row>
    <row r="1913" spans="29:33">
      <c r="AC1913" s="2"/>
      <c r="AD1913" s="2"/>
      <c r="AE1913" s="2"/>
      <c r="AF1913" s="2"/>
      <c r="AG1913" s="2"/>
    </row>
    <row r="1914" spans="29:33">
      <c r="AC1914" s="2"/>
      <c r="AD1914" s="2"/>
      <c r="AE1914" s="2"/>
      <c r="AF1914" s="2"/>
      <c r="AG1914" s="2"/>
    </row>
    <row r="1915" spans="29:33">
      <c r="AC1915" s="2"/>
      <c r="AD1915" s="2"/>
      <c r="AE1915" s="2"/>
      <c r="AF1915" s="2"/>
      <c r="AG1915" s="2"/>
    </row>
    <row r="1916" spans="29:33">
      <c r="AC1916" s="2"/>
      <c r="AD1916" s="2"/>
      <c r="AE1916" s="2"/>
      <c r="AF1916" s="2"/>
      <c r="AG1916" s="2"/>
    </row>
    <row r="1917" spans="29:33">
      <c r="AC1917" s="2"/>
      <c r="AD1917" s="2"/>
      <c r="AE1917" s="2"/>
      <c r="AF1917" s="2"/>
      <c r="AG1917" s="2"/>
    </row>
    <row r="1918" spans="29:33">
      <c r="AC1918" s="2"/>
      <c r="AD1918" s="2"/>
      <c r="AE1918" s="2"/>
      <c r="AF1918" s="2"/>
      <c r="AG1918" s="2"/>
    </row>
    <row r="1919" spans="29:33">
      <c r="AC1919" s="2"/>
      <c r="AD1919" s="2"/>
      <c r="AE1919" s="2"/>
      <c r="AF1919" s="2"/>
      <c r="AG1919" s="2"/>
    </row>
    <row r="1920" spans="29:33">
      <c r="AC1920" s="2"/>
      <c r="AD1920" s="2"/>
      <c r="AE1920" s="2"/>
      <c r="AF1920" s="2"/>
      <c r="AG1920" s="2"/>
    </row>
    <row r="1921" spans="29:33">
      <c r="AC1921" s="2"/>
      <c r="AD1921" s="2"/>
      <c r="AE1921" s="2"/>
      <c r="AF1921" s="2"/>
      <c r="AG1921" s="2"/>
    </row>
    <row r="1922" spans="29:33">
      <c r="AC1922" s="2"/>
      <c r="AD1922" s="2"/>
      <c r="AE1922" s="2"/>
      <c r="AF1922" s="2"/>
      <c r="AG1922" s="2"/>
    </row>
    <row r="1923" spans="29:33">
      <c r="AC1923" s="2"/>
      <c r="AD1923" s="2"/>
      <c r="AE1923" s="2"/>
      <c r="AF1923" s="2"/>
      <c r="AG1923" s="2"/>
    </row>
    <row r="1924" spans="29:33">
      <c r="AC1924" s="2"/>
      <c r="AD1924" s="2"/>
      <c r="AE1924" s="2"/>
      <c r="AF1924" s="2"/>
      <c r="AG1924" s="2"/>
    </row>
    <row r="1925" spans="29:33">
      <c r="AC1925" s="2"/>
      <c r="AD1925" s="2"/>
      <c r="AE1925" s="2"/>
      <c r="AF1925" s="2"/>
      <c r="AG1925" s="2"/>
    </row>
    <row r="1926" spans="29:33">
      <c r="AC1926" s="2"/>
      <c r="AD1926" s="2"/>
      <c r="AE1926" s="2"/>
      <c r="AF1926" s="2"/>
      <c r="AG1926" s="2"/>
    </row>
    <row r="1927" spans="29:33">
      <c r="AC1927" s="2"/>
      <c r="AD1927" s="2"/>
      <c r="AE1927" s="2"/>
      <c r="AF1927" s="2"/>
      <c r="AG1927" s="2"/>
    </row>
    <row r="1928" spans="29:33">
      <c r="AC1928" s="2"/>
      <c r="AD1928" s="2"/>
      <c r="AE1928" s="2"/>
      <c r="AF1928" s="2"/>
      <c r="AG1928" s="2"/>
    </row>
    <row r="1929" spans="29:33">
      <c r="AC1929" s="2"/>
      <c r="AD1929" s="2"/>
      <c r="AE1929" s="2"/>
      <c r="AF1929" s="2"/>
      <c r="AG1929" s="2"/>
    </row>
    <row r="1930" spans="29:33">
      <c r="AC1930" s="2"/>
      <c r="AD1930" s="2"/>
      <c r="AE1930" s="2"/>
      <c r="AF1930" s="2"/>
      <c r="AG1930" s="2"/>
    </row>
    <row r="1931" spans="29:33">
      <c r="AC1931" s="2"/>
      <c r="AD1931" s="2"/>
      <c r="AE1931" s="2"/>
      <c r="AF1931" s="2"/>
      <c r="AG1931" s="2"/>
    </row>
    <row r="1932" spans="29:33">
      <c r="AC1932" s="2"/>
      <c r="AD1932" s="2"/>
      <c r="AE1932" s="2"/>
      <c r="AF1932" s="2"/>
      <c r="AG1932" s="2"/>
    </row>
    <row r="1933" spans="29:33">
      <c r="AC1933" s="2"/>
      <c r="AD1933" s="2"/>
      <c r="AE1933" s="2"/>
      <c r="AF1933" s="2"/>
      <c r="AG1933" s="2"/>
    </row>
    <row r="1934" spans="29:33">
      <c r="AC1934" s="2"/>
      <c r="AD1934" s="2"/>
      <c r="AE1934" s="2"/>
      <c r="AF1934" s="2"/>
      <c r="AG1934" s="2"/>
    </row>
    <row r="1935" spans="29:33">
      <c r="AC1935" s="2"/>
      <c r="AD1935" s="2"/>
      <c r="AE1935" s="2"/>
      <c r="AF1935" s="2"/>
      <c r="AG1935" s="2"/>
    </row>
    <row r="1936" spans="29:33">
      <c r="AC1936" s="2"/>
      <c r="AD1936" s="2"/>
      <c r="AE1936" s="2"/>
      <c r="AF1936" s="2"/>
      <c r="AG1936" s="2"/>
    </row>
    <row r="1937" spans="29:33">
      <c r="AC1937" s="2"/>
      <c r="AD1937" s="2"/>
      <c r="AE1937" s="2"/>
      <c r="AF1937" s="2"/>
      <c r="AG1937" s="2"/>
    </row>
    <row r="1938" spans="29:33">
      <c r="AC1938" s="2"/>
      <c r="AD1938" s="2"/>
      <c r="AE1938" s="2"/>
      <c r="AF1938" s="2"/>
      <c r="AG1938" s="2"/>
    </row>
    <row r="1939" spans="29:33">
      <c r="AC1939" s="2"/>
      <c r="AD1939" s="2"/>
      <c r="AE1939" s="2"/>
      <c r="AF1939" s="2"/>
      <c r="AG1939" s="2"/>
    </row>
    <row r="1940" spans="29:33">
      <c r="AC1940" s="2"/>
      <c r="AD1940" s="2"/>
      <c r="AE1940" s="2"/>
      <c r="AF1940" s="2"/>
      <c r="AG1940" s="2"/>
    </row>
    <row r="1941" spans="29:33">
      <c r="AC1941" s="2"/>
      <c r="AD1941" s="2"/>
      <c r="AE1941" s="2"/>
      <c r="AF1941" s="2"/>
      <c r="AG1941" s="2"/>
    </row>
    <row r="1942" spans="29:33">
      <c r="AC1942" s="2"/>
      <c r="AD1942" s="2"/>
      <c r="AE1942" s="2"/>
      <c r="AF1942" s="2"/>
      <c r="AG1942" s="2"/>
    </row>
    <row r="1943" spans="29:33">
      <c r="AC1943" s="2"/>
      <c r="AD1943" s="2"/>
      <c r="AE1943" s="2"/>
      <c r="AF1943" s="2"/>
      <c r="AG1943" s="2"/>
    </row>
    <row r="1944" spans="29:33">
      <c r="AC1944" s="2"/>
      <c r="AD1944" s="2"/>
      <c r="AE1944" s="2"/>
      <c r="AF1944" s="2"/>
      <c r="AG1944" s="2"/>
    </row>
    <row r="1945" spans="29:33">
      <c r="AC1945" s="2"/>
      <c r="AD1945" s="2"/>
      <c r="AE1945" s="2"/>
      <c r="AF1945" s="2"/>
      <c r="AG1945" s="2"/>
    </row>
    <row r="1946" spans="29:33">
      <c r="AC1946" s="2"/>
      <c r="AD1946" s="2"/>
      <c r="AE1946" s="2"/>
      <c r="AF1946" s="2"/>
      <c r="AG1946" s="2"/>
    </row>
    <row r="1947" spans="29:33">
      <c r="AC1947" s="2"/>
      <c r="AD1947" s="2"/>
      <c r="AE1947" s="2"/>
      <c r="AF1947" s="2"/>
      <c r="AG1947" s="2"/>
    </row>
    <row r="1948" spans="29:33">
      <c r="AC1948" s="2"/>
      <c r="AD1948" s="2"/>
      <c r="AE1948" s="2"/>
      <c r="AF1948" s="2"/>
      <c r="AG1948" s="2"/>
    </row>
    <row r="1949" spans="29:33">
      <c r="AC1949" s="2"/>
      <c r="AD1949" s="2"/>
      <c r="AE1949" s="2"/>
      <c r="AF1949" s="2"/>
      <c r="AG1949" s="2"/>
    </row>
    <row r="1950" spans="29:33">
      <c r="AC1950" s="2"/>
      <c r="AD1950" s="2"/>
      <c r="AE1950" s="2"/>
      <c r="AF1950" s="2"/>
      <c r="AG1950" s="2"/>
    </row>
    <row r="1951" spans="29:33">
      <c r="AC1951" s="2"/>
      <c r="AD1951" s="2"/>
      <c r="AE1951" s="2"/>
      <c r="AF1951" s="2"/>
      <c r="AG1951" s="2"/>
    </row>
    <row r="1952" spans="29:33">
      <c r="AC1952" s="2"/>
      <c r="AD1952" s="2"/>
      <c r="AE1952" s="2"/>
      <c r="AF1952" s="2"/>
      <c r="AG1952" s="2"/>
    </row>
    <row r="1953" spans="29:33">
      <c r="AC1953" s="2"/>
      <c r="AD1953" s="2"/>
      <c r="AE1953" s="2"/>
      <c r="AF1953" s="2"/>
      <c r="AG1953" s="2"/>
    </row>
    <row r="1954" spans="29:33">
      <c r="AC1954" s="2"/>
      <c r="AD1954" s="2"/>
      <c r="AE1954" s="2"/>
      <c r="AF1954" s="2"/>
      <c r="AG1954" s="2"/>
    </row>
    <row r="1955" spans="29:33">
      <c r="AC1955" s="2"/>
      <c r="AD1955" s="2"/>
      <c r="AE1955" s="2"/>
      <c r="AF1955" s="2"/>
      <c r="AG1955" s="2"/>
    </row>
    <row r="1956" spans="29:33">
      <c r="AC1956" s="2"/>
      <c r="AD1956" s="2"/>
      <c r="AE1956" s="2"/>
      <c r="AF1956" s="2"/>
      <c r="AG1956" s="2"/>
    </row>
    <row r="1957" spans="29:33">
      <c r="AC1957" s="2"/>
      <c r="AD1957" s="2"/>
      <c r="AE1957" s="2"/>
      <c r="AF1957" s="2"/>
      <c r="AG1957" s="2"/>
    </row>
    <row r="1958" spans="29:33">
      <c r="AC1958" s="2"/>
      <c r="AD1958" s="2"/>
      <c r="AE1958" s="2"/>
      <c r="AF1958" s="2"/>
      <c r="AG1958" s="2"/>
    </row>
    <row r="1959" spans="29:33">
      <c r="AC1959" s="2"/>
      <c r="AD1959" s="2"/>
      <c r="AE1959" s="2"/>
      <c r="AF1959" s="2"/>
      <c r="AG1959" s="2"/>
    </row>
    <row r="1960" spans="29:33">
      <c r="AC1960" s="2"/>
      <c r="AD1960" s="2"/>
      <c r="AE1960" s="2"/>
      <c r="AF1960" s="2"/>
      <c r="AG1960" s="2"/>
    </row>
    <row r="1961" spans="29:33">
      <c r="AC1961" s="2"/>
      <c r="AD1961" s="2"/>
      <c r="AE1961" s="2"/>
      <c r="AF1961" s="2"/>
      <c r="AG1961" s="2"/>
    </row>
    <row r="1962" spans="29:33">
      <c r="AC1962" s="2"/>
      <c r="AD1962" s="2"/>
      <c r="AE1962" s="2"/>
      <c r="AF1962" s="2"/>
      <c r="AG1962" s="2"/>
    </row>
    <row r="1963" spans="29:33">
      <c r="AC1963" s="2"/>
      <c r="AD1963" s="2"/>
      <c r="AE1963" s="2"/>
      <c r="AF1963" s="2"/>
      <c r="AG1963" s="2"/>
    </row>
    <row r="1964" spans="29:33">
      <c r="AC1964" s="2"/>
      <c r="AD1964" s="2"/>
      <c r="AE1964" s="2"/>
      <c r="AF1964" s="2"/>
      <c r="AG1964" s="2"/>
    </row>
    <row r="1965" spans="29:33">
      <c r="AC1965" s="2"/>
      <c r="AD1965" s="2"/>
      <c r="AE1965" s="2"/>
      <c r="AF1965" s="2"/>
      <c r="AG1965" s="2"/>
    </row>
    <row r="1966" spans="29:33">
      <c r="AC1966" s="2"/>
      <c r="AD1966" s="2"/>
      <c r="AE1966" s="2"/>
      <c r="AF1966" s="2"/>
      <c r="AG1966" s="2"/>
    </row>
    <row r="1967" spans="29:33">
      <c r="AC1967" s="2"/>
      <c r="AD1967" s="2"/>
      <c r="AE1967" s="2"/>
      <c r="AF1967" s="2"/>
      <c r="AG1967" s="2"/>
    </row>
    <row r="1968" spans="29:33">
      <c r="AC1968" s="2"/>
      <c r="AD1968" s="2"/>
      <c r="AE1968" s="2"/>
      <c r="AF1968" s="2"/>
      <c r="AG1968" s="2"/>
    </row>
    <row r="1969" spans="29:33">
      <c r="AC1969" s="2"/>
      <c r="AD1969" s="2"/>
      <c r="AE1969" s="2"/>
      <c r="AF1969" s="2"/>
      <c r="AG1969" s="2"/>
    </row>
    <row r="1970" spans="29:33">
      <c r="AC1970" s="2"/>
      <c r="AD1970" s="2"/>
      <c r="AE1970" s="2"/>
      <c r="AF1970" s="2"/>
      <c r="AG1970" s="2"/>
    </row>
    <row r="1971" spans="29:33">
      <c r="AC1971" s="2"/>
      <c r="AD1971" s="2"/>
      <c r="AE1971" s="2"/>
      <c r="AF1971" s="2"/>
      <c r="AG1971" s="2"/>
    </row>
    <row r="1972" spans="29:33">
      <c r="AC1972" s="2"/>
      <c r="AD1972" s="2"/>
      <c r="AE1972" s="2"/>
      <c r="AF1972" s="2"/>
      <c r="AG1972" s="2"/>
    </row>
    <row r="1973" spans="29:33">
      <c r="AC1973" s="2"/>
      <c r="AD1973" s="2"/>
      <c r="AE1973" s="2"/>
      <c r="AF1973" s="2"/>
      <c r="AG1973" s="2"/>
    </row>
    <row r="1974" spans="29:33">
      <c r="AC1974" s="2"/>
      <c r="AD1974" s="2"/>
      <c r="AE1974" s="2"/>
      <c r="AF1974" s="2"/>
      <c r="AG1974" s="2"/>
    </row>
    <row r="1975" spans="29:33">
      <c r="AC1975" s="2"/>
      <c r="AD1975" s="2"/>
      <c r="AE1975" s="2"/>
      <c r="AF1975" s="2"/>
      <c r="AG1975" s="2"/>
    </row>
    <row r="1976" spans="29:33">
      <c r="AC1976" s="2"/>
      <c r="AD1976" s="2"/>
      <c r="AE1976" s="2"/>
      <c r="AF1976" s="2"/>
      <c r="AG1976" s="2"/>
    </row>
    <row r="1977" spans="29:33">
      <c r="AC1977" s="2"/>
      <c r="AD1977" s="2"/>
      <c r="AE1977" s="2"/>
      <c r="AF1977" s="2"/>
      <c r="AG1977" s="2"/>
    </row>
    <row r="1978" spans="29:33">
      <c r="AC1978" s="2"/>
      <c r="AD1978" s="2"/>
      <c r="AE1978" s="2"/>
      <c r="AF1978" s="2"/>
      <c r="AG1978" s="2"/>
    </row>
    <row r="1979" spans="29:33">
      <c r="AC1979" s="2"/>
      <c r="AD1979" s="2"/>
      <c r="AE1979" s="2"/>
      <c r="AF1979" s="2"/>
      <c r="AG1979" s="2"/>
    </row>
    <row r="1980" spans="29:33">
      <c r="AC1980" s="2"/>
      <c r="AD1980" s="2"/>
      <c r="AE1980" s="2"/>
      <c r="AF1980" s="2"/>
      <c r="AG1980" s="2"/>
    </row>
    <row r="1981" spans="29:33">
      <c r="AC1981" s="2"/>
      <c r="AD1981" s="2"/>
      <c r="AE1981" s="2"/>
      <c r="AF1981" s="2"/>
      <c r="AG1981" s="2"/>
    </row>
    <row r="1982" spans="29:33">
      <c r="AC1982" s="2"/>
      <c r="AD1982" s="2"/>
      <c r="AE1982" s="2"/>
      <c r="AF1982" s="2"/>
      <c r="AG1982" s="2"/>
    </row>
    <row r="1983" spans="29:33">
      <c r="AC1983" s="2"/>
      <c r="AD1983" s="2"/>
      <c r="AE1983" s="2"/>
      <c r="AF1983" s="2"/>
      <c r="AG1983" s="2"/>
    </row>
    <row r="1984" spans="29:33">
      <c r="AC1984" s="2"/>
      <c r="AD1984" s="2"/>
      <c r="AE1984" s="2"/>
      <c r="AF1984" s="2"/>
      <c r="AG1984" s="2"/>
    </row>
    <row r="1985" spans="29:33">
      <c r="AC1985" s="2"/>
      <c r="AD1985" s="2"/>
      <c r="AE1985" s="2"/>
      <c r="AF1985" s="2"/>
      <c r="AG1985" s="2"/>
    </row>
    <row r="1986" spans="29:33">
      <c r="AC1986" s="2"/>
      <c r="AD1986" s="2"/>
      <c r="AE1986" s="2"/>
      <c r="AF1986" s="2"/>
      <c r="AG1986" s="2"/>
    </row>
    <row r="1987" spans="29:33">
      <c r="AC1987" s="2"/>
      <c r="AD1987" s="2"/>
      <c r="AE1987" s="2"/>
      <c r="AF1987" s="2"/>
      <c r="AG1987" s="2"/>
    </row>
    <row r="1988" spans="29:33">
      <c r="AC1988" s="2"/>
      <c r="AD1988" s="2"/>
      <c r="AE1988" s="2"/>
      <c r="AF1988" s="2"/>
      <c r="AG1988" s="2"/>
    </row>
    <row r="1989" spans="29:33">
      <c r="AC1989" s="2"/>
      <c r="AD1989" s="2"/>
      <c r="AE1989" s="2"/>
      <c r="AF1989" s="2"/>
      <c r="AG1989" s="2"/>
    </row>
    <row r="1990" spans="29:33">
      <c r="AC1990" s="2"/>
      <c r="AD1990" s="2"/>
      <c r="AE1990" s="2"/>
      <c r="AF1990" s="2"/>
      <c r="AG1990" s="2"/>
    </row>
    <row r="1991" spans="29:33">
      <c r="AC1991" s="2"/>
      <c r="AD1991" s="2"/>
      <c r="AE1991" s="2"/>
      <c r="AF1991" s="2"/>
      <c r="AG1991" s="2"/>
    </row>
    <row r="1992" spans="29:33">
      <c r="AC1992" s="2"/>
      <c r="AD1992" s="2"/>
      <c r="AE1992" s="2"/>
      <c r="AF1992" s="2"/>
      <c r="AG1992" s="2"/>
    </row>
    <row r="1993" spans="29:33">
      <c r="AC1993" s="2"/>
      <c r="AD1993" s="2"/>
      <c r="AE1993" s="2"/>
      <c r="AF1993" s="2"/>
      <c r="AG1993" s="2"/>
    </row>
    <row r="1994" spans="29:33">
      <c r="AC1994" s="2"/>
      <c r="AD1994" s="2"/>
      <c r="AE1994" s="2"/>
      <c r="AF1994" s="2"/>
      <c r="AG1994" s="2"/>
    </row>
    <row r="1995" spans="29:33">
      <c r="AC1995" s="2"/>
      <c r="AD1995" s="2"/>
      <c r="AE1995" s="2"/>
      <c r="AF1995" s="2"/>
      <c r="AG1995" s="2"/>
    </row>
    <row r="1996" spans="29:33">
      <c r="AC1996" s="2"/>
      <c r="AD1996" s="2"/>
      <c r="AE1996" s="2"/>
      <c r="AF1996" s="2"/>
      <c r="AG1996" s="2"/>
    </row>
    <row r="1997" spans="29:33">
      <c r="AC1997" s="2"/>
      <c r="AD1997" s="2"/>
      <c r="AE1997" s="2"/>
      <c r="AF1997" s="2"/>
      <c r="AG1997" s="2"/>
    </row>
    <row r="1998" spans="29:33">
      <c r="AC1998" s="2"/>
      <c r="AD1998" s="2"/>
      <c r="AE1998" s="2"/>
      <c r="AF1998" s="2"/>
      <c r="AG1998" s="2"/>
    </row>
    <row r="1999" spans="29:33">
      <c r="AC1999" s="2"/>
      <c r="AD1999" s="2"/>
      <c r="AE1999" s="2"/>
      <c r="AF1999" s="2"/>
      <c r="AG1999" s="2"/>
    </row>
    <row r="2000" spans="29:33">
      <c r="AC2000" s="2"/>
      <c r="AD2000" s="2"/>
      <c r="AE2000" s="2"/>
      <c r="AF2000" s="2"/>
      <c r="AG2000" s="2"/>
    </row>
    <row r="2001" spans="29:33">
      <c r="AC2001" s="2"/>
      <c r="AD2001" s="2"/>
      <c r="AE2001" s="2"/>
      <c r="AF2001" s="2"/>
      <c r="AG2001" s="2"/>
    </row>
    <row r="2002" spans="29:33">
      <c r="AC2002" s="2"/>
      <c r="AD2002" s="2"/>
      <c r="AE2002" s="2"/>
      <c r="AF2002" s="2"/>
      <c r="AG2002" s="2"/>
    </row>
    <row r="2003" spans="29:33">
      <c r="AC2003" s="2"/>
      <c r="AD2003" s="2"/>
      <c r="AE2003" s="2"/>
      <c r="AF2003" s="2"/>
      <c r="AG2003" s="2"/>
    </row>
    <row r="2004" spans="29:33">
      <c r="AC2004" s="2"/>
      <c r="AD2004" s="2"/>
      <c r="AE2004" s="2"/>
      <c r="AF2004" s="2"/>
      <c r="AG2004" s="2"/>
    </row>
    <row r="2005" spans="29:33">
      <c r="AC2005" s="2"/>
      <c r="AD2005" s="2"/>
      <c r="AE2005" s="2"/>
      <c r="AF2005" s="2"/>
      <c r="AG2005" s="2"/>
    </row>
    <row r="2006" spans="29:33">
      <c r="AC2006" s="2"/>
      <c r="AD2006" s="2"/>
      <c r="AE2006" s="2"/>
      <c r="AF2006" s="2"/>
      <c r="AG2006" s="2"/>
    </row>
    <row r="2007" spans="29:33">
      <c r="AC2007" s="2"/>
      <c r="AD2007" s="2"/>
      <c r="AE2007" s="2"/>
      <c r="AF2007" s="2"/>
      <c r="AG2007" s="2"/>
    </row>
    <row r="2008" spans="29:33">
      <c r="AC2008" s="2"/>
      <c r="AD2008" s="2"/>
      <c r="AE2008" s="2"/>
      <c r="AF2008" s="2"/>
      <c r="AG2008" s="2"/>
    </row>
    <row r="2009" spans="29:33">
      <c r="AC2009" s="2"/>
      <c r="AD2009" s="2"/>
      <c r="AE2009" s="2"/>
      <c r="AF2009" s="2"/>
      <c r="AG2009" s="2"/>
    </row>
    <row r="2010" spans="29:33">
      <c r="AC2010" s="2"/>
      <c r="AD2010" s="2"/>
      <c r="AE2010" s="2"/>
      <c r="AF2010" s="2"/>
      <c r="AG2010" s="2"/>
    </row>
    <row r="2011" spans="29:33">
      <c r="AC2011" s="2"/>
      <c r="AD2011" s="2"/>
      <c r="AE2011" s="2"/>
      <c r="AF2011" s="2"/>
      <c r="AG2011" s="2"/>
    </row>
    <row r="2012" spans="29:33">
      <c r="AC2012" s="2"/>
      <c r="AD2012" s="2"/>
      <c r="AE2012" s="2"/>
      <c r="AF2012" s="2"/>
      <c r="AG2012" s="2"/>
    </row>
    <row r="2013" spans="29:33">
      <c r="AC2013" s="2"/>
      <c r="AD2013" s="2"/>
      <c r="AE2013" s="2"/>
      <c r="AF2013" s="2"/>
      <c r="AG2013" s="2"/>
    </row>
    <row r="2014" spans="29:33">
      <c r="AC2014" s="2"/>
      <c r="AD2014" s="2"/>
      <c r="AE2014" s="2"/>
      <c r="AF2014" s="2"/>
      <c r="AG2014" s="2"/>
    </row>
    <row r="2015" spans="29:33">
      <c r="AC2015" s="2"/>
      <c r="AD2015" s="2"/>
      <c r="AE2015" s="2"/>
      <c r="AF2015" s="2"/>
      <c r="AG2015" s="2"/>
    </row>
    <row r="2016" spans="29:33">
      <c r="AC2016" s="2"/>
      <c r="AD2016" s="2"/>
      <c r="AE2016" s="2"/>
      <c r="AF2016" s="2"/>
      <c r="AG2016" s="2"/>
    </row>
    <row r="2017" spans="29:33">
      <c r="AC2017" s="2"/>
      <c r="AD2017" s="2"/>
      <c r="AE2017" s="2"/>
      <c r="AF2017" s="2"/>
      <c r="AG2017" s="2"/>
    </row>
    <row r="2018" spans="29:33">
      <c r="AC2018" s="2"/>
      <c r="AD2018" s="2"/>
      <c r="AE2018" s="2"/>
      <c r="AF2018" s="2"/>
      <c r="AG2018" s="2"/>
    </row>
    <row r="2019" spans="29:33">
      <c r="AC2019" s="2"/>
      <c r="AD2019" s="2"/>
      <c r="AE2019" s="2"/>
      <c r="AF2019" s="2"/>
      <c r="AG2019" s="2"/>
    </row>
    <row r="2020" spans="29:33">
      <c r="AC2020" s="2"/>
      <c r="AD2020" s="2"/>
      <c r="AE2020" s="2"/>
      <c r="AF2020" s="2"/>
      <c r="AG2020" s="2"/>
    </row>
    <row r="2021" spans="29:33">
      <c r="AC2021" s="2"/>
      <c r="AD2021" s="2"/>
      <c r="AE2021" s="2"/>
      <c r="AF2021" s="2"/>
      <c r="AG2021" s="2"/>
    </row>
    <row r="2022" spans="29:33">
      <c r="AC2022" s="2"/>
      <c r="AD2022" s="2"/>
      <c r="AE2022" s="2"/>
      <c r="AF2022" s="2"/>
      <c r="AG2022" s="2"/>
    </row>
    <row r="2023" spans="29:33">
      <c r="AC2023" s="2"/>
      <c r="AD2023" s="2"/>
      <c r="AE2023" s="2"/>
      <c r="AF2023" s="2"/>
      <c r="AG2023" s="2"/>
    </row>
    <row r="2024" spans="29:33">
      <c r="AC2024" s="2"/>
      <c r="AD2024" s="2"/>
      <c r="AE2024" s="2"/>
      <c r="AF2024" s="2"/>
      <c r="AG2024" s="2"/>
    </row>
    <row r="2025" spans="29:33">
      <c r="AC2025" s="2"/>
      <c r="AD2025" s="2"/>
      <c r="AE2025" s="2"/>
      <c r="AF2025" s="2"/>
      <c r="AG2025" s="2"/>
    </row>
    <row r="2026" spans="29:33">
      <c r="AC2026" s="2"/>
      <c r="AD2026" s="2"/>
      <c r="AE2026" s="2"/>
      <c r="AF2026" s="2"/>
      <c r="AG2026" s="2"/>
    </row>
    <row r="2027" spans="29:33">
      <c r="AC2027" s="2"/>
      <c r="AD2027" s="2"/>
      <c r="AE2027" s="2"/>
      <c r="AF2027" s="2"/>
      <c r="AG2027" s="2"/>
    </row>
    <row r="2028" spans="29:33">
      <c r="AC2028" s="2"/>
      <c r="AD2028" s="2"/>
      <c r="AE2028" s="2"/>
      <c r="AF2028" s="2"/>
      <c r="AG2028" s="2"/>
    </row>
    <row r="2029" spans="29:33">
      <c r="AC2029" s="2"/>
      <c r="AD2029" s="2"/>
      <c r="AE2029" s="2"/>
      <c r="AF2029" s="2"/>
      <c r="AG2029" s="2"/>
    </row>
    <row r="2030" spans="29:33">
      <c r="AC2030" s="2"/>
      <c r="AD2030" s="2"/>
      <c r="AE2030" s="2"/>
      <c r="AF2030" s="2"/>
      <c r="AG2030" s="2"/>
    </row>
    <row r="2031" spans="29:33">
      <c r="AC2031" s="2"/>
      <c r="AD2031" s="2"/>
      <c r="AE2031" s="2"/>
      <c r="AF2031" s="2"/>
      <c r="AG2031" s="2"/>
    </row>
    <row r="2032" spans="29:33">
      <c r="AC2032" s="2"/>
      <c r="AD2032" s="2"/>
      <c r="AE2032" s="2"/>
      <c r="AF2032" s="2"/>
      <c r="AG2032" s="2"/>
    </row>
    <row r="2033" spans="29:33">
      <c r="AC2033" s="2"/>
      <c r="AD2033" s="2"/>
      <c r="AE2033" s="2"/>
      <c r="AF2033" s="2"/>
      <c r="AG2033" s="2"/>
    </row>
    <row r="2034" spans="29:33">
      <c r="AC2034" s="2"/>
      <c r="AD2034" s="2"/>
      <c r="AE2034" s="2"/>
      <c r="AF2034" s="2"/>
      <c r="AG2034" s="2"/>
    </row>
    <row r="2035" spans="29:33">
      <c r="AC2035" s="2"/>
      <c r="AD2035" s="2"/>
      <c r="AE2035" s="2"/>
      <c r="AF2035" s="2"/>
      <c r="AG2035" s="2"/>
    </row>
    <row r="2036" spans="29:33">
      <c r="AC2036" s="2"/>
      <c r="AD2036" s="2"/>
      <c r="AE2036" s="2"/>
      <c r="AF2036" s="2"/>
      <c r="AG2036" s="2"/>
    </row>
    <row r="2037" spans="29:33">
      <c r="AC2037" s="2"/>
      <c r="AD2037" s="2"/>
      <c r="AE2037" s="2"/>
      <c r="AF2037" s="2"/>
      <c r="AG2037" s="2"/>
    </row>
    <row r="2038" spans="29:33">
      <c r="AC2038" s="2"/>
      <c r="AD2038" s="2"/>
      <c r="AE2038" s="2"/>
      <c r="AF2038" s="2"/>
      <c r="AG2038" s="2"/>
    </row>
    <row r="2039" spans="29:33">
      <c r="AC2039" s="2"/>
      <c r="AD2039" s="2"/>
      <c r="AE2039" s="2"/>
      <c r="AF2039" s="2"/>
      <c r="AG2039" s="2"/>
    </row>
    <row r="2040" spans="29:33">
      <c r="AC2040" s="2"/>
      <c r="AD2040" s="2"/>
      <c r="AE2040" s="2"/>
      <c r="AF2040" s="2"/>
      <c r="AG2040" s="2"/>
    </row>
    <row r="2041" spans="29:33">
      <c r="AC2041" s="2"/>
      <c r="AD2041" s="2"/>
      <c r="AE2041" s="2"/>
      <c r="AF2041" s="2"/>
      <c r="AG2041" s="2"/>
    </row>
    <row r="2042" spans="29:33">
      <c r="AC2042" s="2"/>
      <c r="AD2042" s="2"/>
      <c r="AE2042" s="2"/>
      <c r="AF2042" s="2"/>
      <c r="AG2042" s="2"/>
    </row>
    <row r="2043" spans="29:33">
      <c r="AC2043" s="2"/>
      <c r="AD2043" s="2"/>
      <c r="AE2043" s="2"/>
      <c r="AF2043" s="2"/>
      <c r="AG2043" s="2"/>
    </row>
    <row r="2044" spans="29:33">
      <c r="AC2044" s="2"/>
      <c r="AD2044" s="2"/>
      <c r="AE2044" s="2"/>
      <c r="AF2044" s="2"/>
      <c r="AG2044" s="2"/>
    </row>
    <row r="2045" spans="29:33">
      <c r="AC2045" s="2"/>
      <c r="AD2045" s="2"/>
      <c r="AE2045" s="2"/>
      <c r="AF2045" s="2"/>
      <c r="AG2045" s="2"/>
    </row>
    <row r="2046" spans="29:33">
      <c r="AC2046" s="2"/>
      <c r="AD2046" s="2"/>
      <c r="AE2046" s="2"/>
      <c r="AF2046" s="2"/>
      <c r="AG2046" s="2"/>
    </row>
    <row r="2047" spans="29:33">
      <c r="AC2047" s="2"/>
      <c r="AD2047" s="2"/>
      <c r="AE2047" s="2"/>
      <c r="AF2047" s="2"/>
      <c r="AG2047" s="2"/>
    </row>
    <row r="2048" spans="29:33">
      <c r="AC2048" s="2"/>
      <c r="AD2048" s="2"/>
      <c r="AE2048" s="2"/>
      <c r="AF2048" s="2"/>
      <c r="AG2048" s="2"/>
    </row>
    <row r="2049" spans="29:33">
      <c r="AC2049" s="2"/>
      <c r="AD2049" s="2"/>
      <c r="AE2049" s="2"/>
      <c r="AF2049" s="2"/>
      <c r="AG2049" s="2"/>
    </row>
    <row r="2050" spans="29:33">
      <c r="AC2050" s="2"/>
      <c r="AD2050" s="2"/>
      <c r="AE2050" s="2"/>
      <c r="AF2050" s="2"/>
      <c r="AG2050" s="2"/>
    </row>
    <row r="2051" spans="29:33">
      <c r="AC2051" s="2"/>
      <c r="AD2051" s="2"/>
      <c r="AE2051" s="2"/>
      <c r="AF2051" s="2"/>
      <c r="AG2051" s="2"/>
    </row>
    <row r="2052" spans="29:33">
      <c r="AC2052" s="2"/>
      <c r="AD2052" s="2"/>
      <c r="AE2052" s="2"/>
      <c r="AF2052" s="2"/>
      <c r="AG2052" s="2"/>
    </row>
    <row r="2053" spans="29:33">
      <c r="AC2053" s="2"/>
      <c r="AD2053" s="2"/>
      <c r="AE2053" s="2"/>
      <c r="AF2053" s="2"/>
      <c r="AG2053" s="2"/>
    </row>
    <row r="2054" spans="29:33">
      <c r="AC2054" s="2"/>
      <c r="AD2054" s="2"/>
      <c r="AE2054" s="2"/>
      <c r="AF2054" s="2"/>
      <c r="AG2054" s="2"/>
    </row>
    <row r="2055" spans="29:33">
      <c r="AC2055" s="2"/>
      <c r="AD2055" s="2"/>
      <c r="AE2055" s="2"/>
      <c r="AF2055" s="2"/>
      <c r="AG2055" s="2"/>
    </row>
    <row r="2056" spans="29:33">
      <c r="AC2056" s="2"/>
      <c r="AD2056" s="2"/>
      <c r="AE2056" s="2"/>
      <c r="AF2056" s="2"/>
      <c r="AG2056" s="2"/>
    </row>
    <row r="2057" spans="29:33">
      <c r="AC2057" s="2"/>
      <c r="AD2057" s="2"/>
      <c r="AE2057" s="2"/>
      <c r="AF2057" s="2"/>
      <c r="AG2057" s="2"/>
    </row>
    <row r="2058" spans="29:33">
      <c r="AC2058" s="2"/>
      <c r="AD2058" s="2"/>
      <c r="AE2058" s="2"/>
      <c r="AF2058" s="2"/>
      <c r="AG2058" s="2"/>
    </row>
    <row r="2059" spans="29:33">
      <c r="AC2059" s="2"/>
      <c r="AD2059" s="2"/>
      <c r="AE2059" s="2"/>
      <c r="AF2059" s="2"/>
      <c r="AG2059" s="2"/>
    </row>
    <row r="2060" spans="29:33">
      <c r="AC2060" s="2"/>
      <c r="AD2060" s="2"/>
      <c r="AE2060" s="2"/>
      <c r="AF2060" s="2"/>
      <c r="AG2060" s="2"/>
    </row>
    <row r="2061" spans="29:33">
      <c r="AC2061" s="2"/>
      <c r="AD2061" s="2"/>
      <c r="AE2061" s="2"/>
      <c r="AF2061" s="2"/>
      <c r="AG2061" s="2"/>
    </row>
    <row r="2062" spans="29:33">
      <c r="AC2062" s="2"/>
      <c r="AD2062" s="2"/>
      <c r="AE2062" s="2"/>
      <c r="AF2062" s="2"/>
      <c r="AG2062" s="2"/>
    </row>
    <row r="2063" spans="29:33">
      <c r="AC2063" s="2"/>
      <c r="AD2063" s="2"/>
      <c r="AE2063" s="2"/>
      <c r="AF2063" s="2"/>
      <c r="AG2063" s="2"/>
    </row>
    <row r="2064" spans="29:33">
      <c r="AC2064" s="2"/>
      <c r="AD2064" s="2"/>
      <c r="AE2064" s="2"/>
      <c r="AF2064" s="2"/>
      <c r="AG2064" s="2"/>
    </row>
    <row r="2065" spans="29:33">
      <c r="AC2065" s="2"/>
      <c r="AD2065" s="2"/>
      <c r="AE2065" s="2"/>
      <c r="AF2065" s="2"/>
      <c r="AG2065" s="2"/>
    </row>
    <row r="2066" spans="29:33">
      <c r="AC2066" s="2"/>
      <c r="AD2066" s="2"/>
      <c r="AE2066" s="2"/>
      <c r="AF2066" s="2"/>
      <c r="AG2066" s="2"/>
    </row>
    <row r="2067" spans="29:33">
      <c r="AC2067" s="2"/>
      <c r="AD2067" s="2"/>
      <c r="AE2067" s="2"/>
      <c r="AF2067" s="2"/>
      <c r="AG2067" s="2"/>
    </row>
    <row r="2068" spans="29:33">
      <c r="AC2068" s="2"/>
      <c r="AD2068" s="2"/>
      <c r="AE2068" s="2"/>
      <c r="AF2068" s="2"/>
      <c r="AG2068" s="2"/>
    </row>
    <row r="2069" spans="29:33">
      <c r="AC2069" s="2"/>
      <c r="AD2069" s="2"/>
      <c r="AE2069" s="2"/>
      <c r="AF2069" s="2"/>
      <c r="AG2069" s="2"/>
    </row>
    <row r="2070" spans="29:33">
      <c r="AC2070" s="2"/>
      <c r="AD2070" s="2"/>
      <c r="AE2070" s="2"/>
      <c r="AF2070" s="2"/>
      <c r="AG2070" s="2"/>
    </row>
    <row r="2071" spans="29:33">
      <c r="AC2071" s="2"/>
      <c r="AD2071" s="2"/>
      <c r="AE2071" s="2"/>
      <c r="AF2071" s="2"/>
      <c r="AG2071" s="2"/>
    </row>
    <row r="2072" spans="29:33">
      <c r="AC2072" s="2"/>
      <c r="AD2072" s="2"/>
      <c r="AE2072" s="2"/>
      <c r="AF2072" s="2"/>
      <c r="AG2072" s="2"/>
    </row>
    <row r="2073" spans="29:33">
      <c r="AC2073" s="2"/>
      <c r="AD2073" s="2"/>
      <c r="AE2073" s="2"/>
      <c r="AF2073" s="2"/>
      <c r="AG2073" s="2"/>
    </row>
    <row r="2074" spans="29:33">
      <c r="AC2074" s="2"/>
      <c r="AD2074" s="2"/>
      <c r="AE2074" s="2"/>
      <c r="AF2074" s="2"/>
      <c r="AG2074" s="2"/>
    </row>
    <row r="2075" spans="29:33">
      <c r="AC2075" s="2"/>
      <c r="AD2075" s="2"/>
      <c r="AE2075" s="2"/>
      <c r="AF2075" s="2"/>
      <c r="AG2075" s="2"/>
    </row>
    <row r="2076" spans="29:33">
      <c r="AC2076" s="2"/>
      <c r="AD2076" s="2"/>
      <c r="AE2076" s="2"/>
      <c r="AF2076" s="2"/>
      <c r="AG2076" s="2"/>
    </row>
    <row r="2077" spans="29:33">
      <c r="AC2077" s="2"/>
      <c r="AD2077" s="2"/>
      <c r="AE2077" s="2"/>
      <c r="AF2077" s="2"/>
      <c r="AG2077" s="2"/>
    </row>
    <row r="2078" spans="29:33">
      <c r="AC2078" s="2"/>
      <c r="AD2078" s="2"/>
      <c r="AE2078" s="2"/>
      <c r="AF2078" s="2"/>
      <c r="AG2078" s="2"/>
    </row>
    <row r="2079" spans="29:33">
      <c r="AC2079" s="2"/>
      <c r="AD2079" s="2"/>
      <c r="AE2079" s="2"/>
      <c r="AF2079" s="2"/>
      <c r="AG2079" s="2"/>
    </row>
    <row r="2080" spans="29:33">
      <c r="AC2080" s="2"/>
      <c r="AD2080" s="2"/>
      <c r="AE2080" s="2"/>
      <c r="AF2080" s="2"/>
      <c r="AG2080" s="2"/>
    </row>
    <row r="2081" spans="29:33">
      <c r="AC2081" s="2"/>
      <c r="AD2081" s="2"/>
      <c r="AE2081" s="2"/>
      <c r="AF2081" s="2"/>
      <c r="AG2081" s="2"/>
    </row>
    <row r="2082" spans="29:33">
      <c r="AC2082" s="2"/>
      <c r="AD2082" s="2"/>
      <c r="AE2082" s="2"/>
      <c r="AF2082" s="2"/>
      <c r="AG2082" s="2"/>
    </row>
    <row r="2083" spans="29:33">
      <c r="AC2083" s="2"/>
      <c r="AD2083" s="2"/>
      <c r="AE2083" s="2"/>
      <c r="AF2083" s="2"/>
      <c r="AG2083" s="2"/>
    </row>
    <row r="2084" spans="29:33">
      <c r="AC2084" s="2"/>
      <c r="AD2084" s="2"/>
      <c r="AE2084" s="2"/>
      <c r="AF2084" s="2"/>
      <c r="AG2084" s="2"/>
    </row>
    <row r="2085" spans="29:33">
      <c r="AC2085" s="2"/>
      <c r="AD2085" s="2"/>
      <c r="AE2085" s="2"/>
      <c r="AF2085" s="2"/>
      <c r="AG2085" s="2"/>
    </row>
    <row r="2086" spans="29:33">
      <c r="AC2086" s="2"/>
      <c r="AD2086" s="2"/>
      <c r="AE2086" s="2"/>
      <c r="AF2086" s="2"/>
      <c r="AG2086" s="2"/>
    </row>
    <row r="2087" spans="29:33">
      <c r="AC2087" s="2"/>
      <c r="AD2087" s="2"/>
      <c r="AE2087" s="2"/>
      <c r="AF2087" s="2"/>
      <c r="AG2087" s="2"/>
    </row>
    <row r="2088" spans="29:33">
      <c r="AC2088" s="2"/>
      <c r="AD2088" s="2"/>
      <c r="AE2088" s="2"/>
      <c r="AF2088" s="2"/>
      <c r="AG2088" s="2"/>
    </row>
    <row r="2089" spans="29:33">
      <c r="AC2089" s="2"/>
      <c r="AD2089" s="2"/>
      <c r="AE2089" s="2"/>
      <c r="AF2089" s="2"/>
      <c r="AG2089" s="2"/>
    </row>
    <row r="2090" spans="29:33">
      <c r="AC2090" s="2"/>
      <c r="AD2090" s="2"/>
      <c r="AE2090" s="2"/>
      <c r="AF2090" s="2"/>
      <c r="AG2090" s="2"/>
    </row>
    <row r="2091" spans="29:33">
      <c r="AC2091" s="2"/>
      <c r="AD2091" s="2"/>
      <c r="AE2091" s="2"/>
      <c r="AF2091" s="2"/>
      <c r="AG2091" s="2"/>
    </row>
    <row r="2092" spans="29:33">
      <c r="AC2092" s="2"/>
      <c r="AD2092" s="2"/>
      <c r="AE2092" s="2"/>
      <c r="AF2092" s="2"/>
      <c r="AG2092" s="2"/>
    </row>
    <row r="2093" spans="29:33">
      <c r="AC2093" s="2"/>
      <c r="AD2093" s="2"/>
      <c r="AE2093" s="2"/>
      <c r="AF2093" s="2"/>
      <c r="AG2093" s="2"/>
    </row>
    <row r="2094" spans="29:33">
      <c r="AC2094" s="2"/>
      <c r="AD2094" s="2"/>
      <c r="AE2094" s="2"/>
      <c r="AF2094" s="2"/>
      <c r="AG2094" s="2"/>
    </row>
    <row r="2095" spans="29:33">
      <c r="AC2095" s="2"/>
      <c r="AD2095" s="2"/>
      <c r="AE2095" s="2"/>
      <c r="AF2095" s="2"/>
      <c r="AG2095" s="2"/>
    </row>
    <row r="2096" spans="29:33">
      <c r="AC2096" s="2"/>
      <c r="AD2096" s="2"/>
      <c r="AE2096" s="2"/>
      <c r="AF2096" s="2"/>
      <c r="AG2096" s="2"/>
    </row>
    <row r="2097" spans="29:33">
      <c r="AC2097" s="2"/>
      <c r="AD2097" s="2"/>
      <c r="AE2097" s="2"/>
      <c r="AF2097" s="2"/>
      <c r="AG2097" s="2"/>
    </row>
    <row r="2098" spans="29:33">
      <c r="AC2098" s="2"/>
      <c r="AD2098" s="2"/>
      <c r="AE2098" s="2"/>
      <c r="AF2098" s="2"/>
      <c r="AG2098" s="2"/>
    </row>
    <row r="2099" spans="29:33">
      <c r="AC2099" s="2"/>
      <c r="AD2099" s="2"/>
      <c r="AE2099" s="2"/>
      <c r="AF2099" s="2"/>
      <c r="AG2099" s="2"/>
    </row>
    <row r="2100" spans="29:33">
      <c r="AC2100" s="2"/>
      <c r="AD2100" s="2"/>
      <c r="AE2100" s="2"/>
      <c r="AF2100" s="2"/>
      <c r="AG2100" s="2"/>
    </row>
    <row r="2101" spans="29:33">
      <c r="AC2101" s="2"/>
      <c r="AD2101" s="2"/>
      <c r="AE2101" s="2"/>
      <c r="AF2101" s="2"/>
      <c r="AG2101" s="2"/>
    </row>
    <row r="2102" spans="29:33">
      <c r="AC2102" s="2"/>
      <c r="AD2102" s="2"/>
      <c r="AE2102" s="2"/>
      <c r="AF2102" s="2"/>
      <c r="AG2102" s="2"/>
    </row>
    <row r="2103" spans="29:33">
      <c r="AC2103" s="2"/>
      <c r="AD2103" s="2"/>
      <c r="AE2103" s="2"/>
      <c r="AF2103" s="2"/>
      <c r="AG2103" s="2"/>
    </row>
    <row r="2104" spans="29:33">
      <c r="AC2104" s="2"/>
      <c r="AD2104" s="2"/>
      <c r="AE2104" s="2"/>
      <c r="AF2104" s="2"/>
      <c r="AG2104" s="2"/>
    </row>
    <row r="2105" spans="29:33">
      <c r="AC2105" s="2"/>
      <c r="AD2105" s="2"/>
      <c r="AE2105" s="2"/>
      <c r="AF2105" s="2"/>
      <c r="AG2105" s="2"/>
    </row>
    <row r="2106" spans="29:33">
      <c r="AC2106" s="2"/>
      <c r="AD2106" s="2"/>
      <c r="AE2106" s="2"/>
      <c r="AF2106" s="2"/>
      <c r="AG2106" s="2"/>
    </row>
    <row r="2107" spans="29:33">
      <c r="AC2107" s="2"/>
      <c r="AD2107" s="2"/>
      <c r="AE2107" s="2"/>
      <c r="AF2107" s="2"/>
      <c r="AG2107" s="2"/>
    </row>
    <row r="2108" spans="29:33">
      <c r="AC2108" s="2"/>
      <c r="AD2108" s="2"/>
      <c r="AE2108" s="2"/>
      <c r="AF2108" s="2"/>
      <c r="AG2108" s="2"/>
    </row>
    <row r="2109" spans="29:33">
      <c r="AC2109" s="2"/>
      <c r="AD2109" s="2"/>
      <c r="AE2109" s="2"/>
      <c r="AF2109" s="2"/>
      <c r="AG2109" s="2"/>
    </row>
    <row r="2110" spans="29:33">
      <c r="AC2110" s="2"/>
      <c r="AD2110" s="2"/>
      <c r="AE2110" s="2"/>
      <c r="AF2110" s="2"/>
      <c r="AG2110" s="2"/>
    </row>
    <row r="2111" spans="29:33">
      <c r="AC2111" s="2"/>
      <c r="AD2111" s="2"/>
      <c r="AE2111" s="2"/>
      <c r="AF2111" s="2"/>
      <c r="AG2111" s="2"/>
    </row>
    <row r="2112" spans="29:33">
      <c r="AC2112" s="2"/>
      <c r="AD2112" s="2"/>
      <c r="AE2112" s="2"/>
      <c r="AF2112" s="2"/>
      <c r="AG2112" s="2"/>
    </row>
    <row r="2113" spans="29:33">
      <c r="AC2113" s="2"/>
      <c r="AD2113" s="2"/>
      <c r="AE2113" s="2"/>
      <c r="AF2113" s="2"/>
      <c r="AG2113" s="2"/>
    </row>
    <row r="2114" spans="29:33">
      <c r="AC2114" s="2"/>
      <c r="AD2114" s="2"/>
      <c r="AE2114" s="2"/>
      <c r="AF2114" s="2"/>
      <c r="AG2114" s="2"/>
    </row>
    <row r="2115" spans="29:33">
      <c r="AC2115" s="2"/>
      <c r="AD2115" s="2"/>
      <c r="AE2115" s="2"/>
      <c r="AF2115" s="2"/>
      <c r="AG2115" s="2"/>
    </row>
    <row r="2116" spans="29:33">
      <c r="AC2116" s="2"/>
      <c r="AD2116" s="2"/>
      <c r="AE2116" s="2"/>
      <c r="AF2116" s="2"/>
      <c r="AG2116" s="2"/>
    </row>
    <row r="2117" spans="29:33">
      <c r="AC2117" s="2"/>
      <c r="AD2117" s="2"/>
      <c r="AE2117" s="2"/>
      <c r="AF2117" s="2"/>
      <c r="AG2117" s="2"/>
    </row>
    <row r="2118" spans="29:33">
      <c r="AC2118" s="2"/>
      <c r="AD2118" s="2"/>
      <c r="AE2118" s="2"/>
      <c r="AF2118" s="2"/>
      <c r="AG2118" s="2"/>
    </row>
    <row r="2119" spans="29:33">
      <c r="AC2119" s="2"/>
      <c r="AD2119" s="2"/>
      <c r="AE2119" s="2"/>
      <c r="AF2119" s="2"/>
      <c r="AG2119" s="2"/>
    </row>
    <row r="2120" spans="29:33">
      <c r="AC2120" s="2"/>
      <c r="AD2120" s="2"/>
      <c r="AE2120" s="2"/>
      <c r="AF2120" s="2"/>
      <c r="AG2120" s="2"/>
    </row>
    <row r="2121" spans="29:33">
      <c r="AC2121" s="2"/>
      <c r="AD2121" s="2"/>
      <c r="AE2121" s="2"/>
      <c r="AF2121" s="2"/>
      <c r="AG2121" s="2"/>
    </row>
    <row r="2122" spans="29:33">
      <c r="AC2122" s="2"/>
      <c r="AD2122" s="2"/>
      <c r="AE2122" s="2"/>
      <c r="AF2122" s="2"/>
      <c r="AG2122" s="2"/>
    </row>
    <row r="2123" spans="29:33">
      <c r="AC2123" s="2"/>
      <c r="AD2123" s="2"/>
      <c r="AE2123" s="2"/>
      <c r="AF2123" s="2"/>
      <c r="AG2123" s="2"/>
    </row>
    <row r="2124" spans="29:33">
      <c r="AC2124" s="2"/>
      <c r="AD2124" s="2"/>
      <c r="AE2124" s="2"/>
      <c r="AF2124" s="2"/>
      <c r="AG2124" s="2"/>
    </row>
    <row r="2125" spans="29:33">
      <c r="AC2125" s="2"/>
      <c r="AD2125" s="2"/>
      <c r="AE2125" s="2"/>
      <c r="AF2125" s="2"/>
      <c r="AG2125" s="2"/>
    </row>
    <row r="2126" spans="29:33">
      <c r="AC2126" s="2"/>
      <c r="AD2126" s="2"/>
      <c r="AE2126" s="2"/>
      <c r="AF2126" s="2"/>
      <c r="AG2126" s="2"/>
    </row>
    <row r="2127" spans="29:33">
      <c r="AC2127" s="2"/>
      <c r="AD2127" s="2"/>
      <c r="AE2127" s="2"/>
      <c r="AF2127" s="2"/>
      <c r="AG2127" s="2"/>
    </row>
    <row r="2128" spans="29:33">
      <c r="AC2128" s="2"/>
      <c r="AD2128" s="2"/>
      <c r="AE2128" s="2"/>
      <c r="AF2128" s="2"/>
      <c r="AG2128" s="2"/>
    </row>
    <row r="2129" spans="29:33">
      <c r="AC2129" s="2"/>
      <c r="AD2129" s="2"/>
      <c r="AE2129" s="2"/>
      <c r="AF2129" s="2"/>
      <c r="AG2129" s="2"/>
    </row>
    <row r="2130" spans="29:33">
      <c r="AC2130" s="2"/>
      <c r="AD2130" s="2"/>
      <c r="AE2130" s="2"/>
      <c r="AF2130" s="2"/>
      <c r="AG2130" s="2"/>
    </row>
    <row r="2131" spans="29:33">
      <c r="AC2131" s="2"/>
      <c r="AD2131" s="2"/>
      <c r="AE2131" s="2"/>
      <c r="AF2131" s="2"/>
      <c r="AG2131" s="2"/>
    </row>
    <row r="2132" spans="29:33">
      <c r="AC2132" s="2"/>
      <c r="AD2132" s="2"/>
      <c r="AE2132" s="2"/>
      <c r="AF2132" s="2"/>
      <c r="AG2132" s="2"/>
    </row>
    <row r="2133" spans="29:33">
      <c r="AC2133" s="2"/>
      <c r="AD2133" s="2"/>
      <c r="AE2133" s="2"/>
      <c r="AF2133" s="2"/>
      <c r="AG2133" s="2"/>
    </row>
    <row r="2134" spans="29:33">
      <c r="AC2134" s="2"/>
      <c r="AD2134" s="2"/>
      <c r="AE2134" s="2"/>
      <c r="AF2134" s="2"/>
      <c r="AG2134" s="2"/>
    </row>
    <row r="2135" spans="29:33">
      <c r="AC2135" s="2"/>
      <c r="AD2135" s="2"/>
      <c r="AE2135" s="2"/>
      <c r="AF2135" s="2"/>
      <c r="AG2135" s="2"/>
    </row>
    <row r="2136" spans="29:33">
      <c r="AC2136" s="2"/>
      <c r="AD2136" s="2"/>
      <c r="AE2136" s="2"/>
      <c r="AF2136" s="2"/>
      <c r="AG2136" s="2"/>
    </row>
    <row r="2137" spans="29:33">
      <c r="AC2137" s="2"/>
      <c r="AD2137" s="2"/>
      <c r="AE2137" s="2"/>
      <c r="AF2137" s="2"/>
      <c r="AG2137" s="2"/>
    </row>
    <row r="2138" spans="29:33">
      <c r="AC2138" s="2"/>
      <c r="AD2138" s="2"/>
      <c r="AE2138" s="2"/>
      <c r="AF2138" s="2"/>
      <c r="AG2138" s="2"/>
    </row>
    <row r="2139" spans="29:33">
      <c r="AC2139" s="2"/>
      <c r="AD2139" s="2"/>
      <c r="AE2139" s="2"/>
      <c r="AF2139" s="2"/>
      <c r="AG2139" s="2"/>
    </row>
    <row r="2140" spans="29:33">
      <c r="AC2140" s="2"/>
      <c r="AD2140" s="2"/>
      <c r="AE2140" s="2"/>
      <c r="AF2140" s="2"/>
      <c r="AG2140" s="2"/>
    </row>
    <row r="2141" spans="29:33">
      <c r="AC2141" s="2"/>
      <c r="AD2141" s="2"/>
      <c r="AE2141" s="2"/>
      <c r="AF2141" s="2"/>
      <c r="AG2141" s="2"/>
    </row>
    <row r="2142" spans="29:33">
      <c r="AC2142" s="2"/>
      <c r="AD2142" s="2"/>
      <c r="AE2142" s="2"/>
      <c r="AF2142" s="2"/>
      <c r="AG2142" s="2"/>
    </row>
    <row r="2143" spans="29:33">
      <c r="AC2143" s="2"/>
      <c r="AD2143" s="2"/>
      <c r="AE2143" s="2"/>
      <c r="AF2143" s="2"/>
      <c r="AG2143" s="2"/>
    </row>
    <row r="2144" spans="29:33">
      <c r="AC2144" s="2"/>
      <c r="AD2144" s="2"/>
      <c r="AE2144" s="2"/>
      <c r="AF2144" s="2"/>
      <c r="AG2144" s="2"/>
    </row>
    <row r="2145" spans="29:33">
      <c r="AC2145" s="2"/>
      <c r="AD2145" s="2"/>
      <c r="AE2145" s="2"/>
      <c r="AF2145" s="2"/>
      <c r="AG2145" s="2"/>
    </row>
    <row r="2146" spans="29:33">
      <c r="AC2146" s="2"/>
      <c r="AD2146" s="2"/>
      <c r="AE2146" s="2"/>
      <c r="AF2146" s="2"/>
      <c r="AG2146" s="2"/>
    </row>
    <row r="2147" spans="29:33">
      <c r="AC2147" s="2"/>
      <c r="AD2147" s="2"/>
      <c r="AE2147" s="2"/>
      <c r="AF2147" s="2"/>
      <c r="AG2147" s="2"/>
    </row>
    <row r="2148" spans="29:33">
      <c r="AC2148" s="2"/>
      <c r="AD2148" s="2"/>
      <c r="AE2148" s="2"/>
      <c r="AF2148" s="2"/>
      <c r="AG2148" s="2"/>
    </row>
    <row r="2149" spans="29:33">
      <c r="AC2149" s="2"/>
      <c r="AD2149" s="2"/>
      <c r="AE2149" s="2"/>
      <c r="AF2149" s="2"/>
      <c r="AG2149" s="2"/>
    </row>
    <row r="2150" spans="29:33">
      <c r="AC2150" s="2"/>
      <c r="AD2150" s="2"/>
      <c r="AE2150" s="2"/>
      <c r="AF2150" s="2"/>
      <c r="AG2150" s="2"/>
    </row>
    <row r="2151" spans="29:33">
      <c r="AC2151" s="2"/>
      <c r="AD2151" s="2"/>
      <c r="AE2151" s="2"/>
      <c r="AF2151" s="2"/>
      <c r="AG2151" s="2"/>
    </row>
    <row r="2152" spans="29:33">
      <c r="AC2152" s="2"/>
      <c r="AD2152" s="2"/>
      <c r="AE2152" s="2"/>
      <c r="AF2152" s="2"/>
      <c r="AG2152" s="2"/>
    </row>
    <row r="2153" spans="29:33">
      <c r="AC2153" s="2"/>
      <c r="AD2153" s="2"/>
      <c r="AE2153" s="2"/>
      <c r="AF2153" s="2"/>
      <c r="AG2153" s="2"/>
    </row>
    <row r="2154" spans="29:33">
      <c r="AC2154" s="2"/>
      <c r="AD2154" s="2"/>
      <c r="AE2154" s="2"/>
      <c r="AF2154" s="2"/>
      <c r="AG2154" s="2"/>
    </row>
    <row r="2155" spans="29:33">
      <c r="AC2155" s="2"/>
      <c r="AD2155" s="2"/>
      <c r="AE2155" s="2"/>
      <c r="AF2155" s="2"/>
      <c r="AG2155" s="2"/>
    </row>
  </sheetData>
  <sheetProtection algorithmName="SHA-512" hashValue="rTD66IdZguDc7ZdcgOxN545DxWFT6vapnWuc9S58EmWiW/RfYqTnjLXt3hq3j20H3mqoma4LiiG/PP34CTD80g==" saltValue="vu/nmREjAtji3VZUj89UuQ==" spinCount="100000" sheet="1" objects="1" scenarios="1"/>
  <mergeCells count="324">
    <mergeCell ref="I148:I162"/>
    <mergeCell ref="X148:X162"/>
    <mergeCell ref="V148:V162"/>
    <mergeCell ref="T148:T162"/>
    <mergeCell ref="R148:R162"/>
    <mergeCell ref="P148:P162"/>
    <mergeCell ref="H193:H207"/>
    <mergeCell ref="Y193:Y207"/>
    <mergeCell ref="W193:W207"/>
    <mergeCell ref="U193:U207"/>
    <mergeCell ref="S193:S207"/>
    <mergeCell ref="Q193:Q207"/>
    <mergeCell ref="O193:O207"/>
    <mergeCell ref="M193:M207"/>
    <mergeCell ref="Y178:Y192"/>
    <mergeCell ref="W178:W192"/>
    <mergeCell ref="U178:U192"/>
    <mergeCell ref="S178:S192"/>
    <mergeCell ref="Q178:Q192"/>
    <mergeCell ref="O178:O192"/>
    <mergeCell ref="M178:M192"/>
    <mergeCell ref="K178:K192"/>
    <mergeCell ref="I178:I192"/>
    <mergeCell ref="K193:K207"/>
    <mergeCell ref="I193:I207"/>
    <mergeCell ref="X193:X207"/>
    <mergeCell ref="V193:V207"/>
    <mergeCell ref="T193:T207"/>
    <mergeCell ref="H163:H177"/>
    <mergeCell ref="X178:X192"/>
    <mergeCell ref="V178:V192"/>
    <mergeCell ref="T178:T192"/>
    <mergeCell ref="N178:N192"/>
    <mergeCell ref="L178:L192"/>
    <mergeCell ref="J178:J192"/>
    <mergeCell ref="H178:H192"/>
    <mergeCell ref="J163:J177"/>
    <mergeCell ref="M163:M177"/>
    <mergeCell ref="S163:S177"/>
    <mergeCell ref="Q163:Q177"/>
    <mergeCell ref="K163:K177"/>
    <mergeCell ref="I163:I177"/>
    <mergeCell ref="Q73:Q87"/>
    <mergeCell ref="W88:W102"/>
    <mergeCell ref="W118:W132"/>
    <mergeCell ref="P43:P57"/>
    <mergeCell ref="N43:N57"/>
    <mergeCell ref="O28:O42"/>
    <mergeCell ref="P28:P42"/>
    <mergeCell ref="Q28:Q42"/>
    <mergeCell ref="H133:H147"/>
    <mergeCell ref="H58:H72"/>
    <mergeCell ref="I58:I72"/>
    <mergeCell ref="H73:H87"/>
    <mergeCell ref="I103:I117"/>
    <mergeCell ref="L118:L132"/>
    <mergeCell ref="J118:J132"/>
    <mergeCell ref="H118:H132"/>
    <mergeCell ref="K118:K132"/>
    <mergeCell ref="I118:I132"/>
    <mergeCell ref="K73:K87"/>
    <mergeCell ref="I73:I87"/>
    <mergeCell ref="K58:K72"/>
    <mergeCell ref="R28:R42"/>
    <mergeCell ref="S28:S42"/>
    <mergeCell ref="T28:T42"/>
    <mergeCell ref="X73:X87"/>
    <mergeCell ref="R178:R192"/>
    <mergeCell ref="P178:P192"/>
    <mergeCell ref="R193:R207"/>
    <mergeCell ref="P193:P207"/>
    <mergeCell ref="N193:N207"/>
    <mergeCell ref="L193:L207"/>
    <mergeCell ref="J193:J207"/>
    <mergeCell ref="P73:P87"/>
    <mergeCell ref="N73:N87"/>
    <mergeCell ref="J73:J87"/>
    <mergeCell ref="U148:U162"/>
    <mergeCell ref="S148:S162"/>
    <mergeCell ref="R133:R147"/>
    <mergeCell ref="P133:P147"/>
    <mergeCell ref="L163:L177"/>
    <mergeCell ref="M103:M117"/>
    <mergeCell ref="N118:N132"/>
    <mergeCell ref="J103:J117"/>
    <mergeCell ref="K103:K117"/>
    <mergeCell ref="L103:L117"/>
    <mergeCell ref="J148:J162"/>
    <mergeCell ref="M148:M162"/>
    <mergeCell ref="K148:K162"/>
    <mergeCell ref="S209:AA209"/>
    <mergeCell ref="I210:J210"/>
    <mergeCell ref="O73:O87"/>
    <mergeCell ref="O103:O117"/>
    <mergeCell ref="P58:P72"/>
    <mergeCell ref="P88:P102"/>
    <mergeCell ref="N88:N102"/>
    <mergeCell ref="Q88:Q102"/>
    <mergeCell ref="N58:N72"/>
    <mergeCell ref="Q58:Q72"/>
    <mergeCell ref="O58:O72"/>
    <mergeCell ref="O88:O102"/>
    <mergeCell ref="N103:N117"/>
    <mergeCell ref="Q148:Q162"/>
    <mergeCell ref="Q133:Q147"/>
    <mergeCell ref="J58:J72"/>
    <mergeCell ref="O163:O177"/>
    <mergeCell ref="O148:O162"/>
    <mergeCell ref="J133:J147"/>
    <mergeCell ref="N133:N147"/>
    <mergeCell ref="O133:O147"/>
    <mergeCell ref="L88:L102"/>
    <mergeCell ref="M88:M102"/>
    <mergeCell ref="M118:M132"/>
    <mergeCell ref="X118:X132"/>
    <mergeCell ref="R103:R117"/>
    <mergeCell ref="P103:P117"/>
    <mergeCell ref="Q103:Q117"/>
    <mergeCell ref="V118:V132"/>
    <mergeCell ref="S118:S132"/>
    <mergeCell ref="T118:T132"/>
    <mergeCell ref="R88:R102"/>
    <mergeCell ref="S88:S102"/>
    <mergeCell ref="T88:T102"/>
    <mergeCell ref="X103:X117"/>
    <mergeCell ref="S103:S117"/>
    <mergeCell ref="T103:T117"/>
    <mergeCell ref="U103:U117"/>
    <mergeCell ref="V103:V117"/>
    <mergeCell ref="W103:W117"/>
    <mergeCell ref="Q118:Q132"/>
    <mergeCell ref="U88:U102"/>
    <mergeCell ref="V88:V102"/>
    <mergeCell ref="B208:E208"/>
    <mergeCell ref="F208:G208"/>
    <mergeCell ref="C156:C159"/>
    <mergeCell ref="C120:C123"/>
    <mergeCell ref="C124:C127"/>
    <mergeCell ref="C128:C131"/>
    <mergeCell ref="C132:C135"/>
    <mergeCell ref="C148:C151"/>
    <mergeCell ref="C184:C187"/>
    <mergeCell ref="C188:C191"/>
    <mergeCell ref="C192:C195"/>
    <mergeCell ref="C196:C199"/>
    <mergeCell ref="C200:C203"/>
    <mergeCell ref="C204:C207"/>
    <mergeCell ref="C180:C183"/>
    <mergeCell ref="C176:C179"/>
    <mergeCell ref="Y133:Y147"/>
    <mergeCell ref="C136:C139"/>
    <mergeCell ref="C140:C143"/>
    <mergeCell ref="C144:C147"/>
    <mergeCell ref="S133:S147"/>
    <mergeCell ref="T133:T147"/>
    <mergeCell ref="U133:U147"/>
    <mergeCell ref="V133:V147"/>
    <mergeCell ref="W133:W147"/>
    <mergeCell ref="X133:X147"/>
    <mergeCell ref="M133:M147"/>
    <mergeCell ref="K133:K147"/>
    <mergeCell ref="L133:L147"/>
    <mergeCell ref="I133:I147"/>
    <mergeCell ref="Y118:Y132"/>
    <mergeCell ref="O118:O132"/>
    <mergeCell ref="U118:U132"/>
    <mergeCell ref="Y148:Y162"/>
    <mergeCell ref="W148:W162"/>
    <mergeCell ref="C160:C163"/>
    <mergeCell ref="Y163:Y177"/>
    <mergeCell ref="W163:W177"/>
    <mergeCell ref="C164:C167"/>
    <mergeCell ref="C168:C171"/>
    <mergeCell ref="C172:C175"/>
    <mergeCell ref="H148:H162"/>
    <mergeCell ref="C152:C155"/>
    <mergeCell ref="N148:N162"/>
    <mergeCell ref="L148:L162"/>
    <mergeCell ref="X163:X177"/>
    <mergeCell ref="V163:V177"/>
    <mergeCell ref="T163:T177"/>
    <mergeCell ref="R163:R177"/>
    <mergeCell ref="P163:P177"/>
    <mergeCell ref="N163:N177"/>
    <mergeCell ref="U163:U177"/>
    <mergeCell ref="R118:R132"/>
    <mergeCell ref="P118:P132"/>
    <mergeCell ref="C104:C107"/>
    <mergeCell ref="C108:C111"/>
    <mergeCell ref="C112:C115"/>
    <mergeCell ref="C116:C119"/>
    <mergeCell ref="Y73:Y87"/>
    <mergeCell ref="C76:C79"/>
    <mergeCell ref="C80:C83"/>
    <mergeCell ref="C84:C87"/>
    <mergeCell ref="C88:C91"/>
    <mergeCell ref="H88:H102"/>
    <mergeCell ref="I88:I102"/>
    <mergeCell ref="J88:J102"/>
    <mergeCell ref="K88:K102"/>
    <mergeCell ref="R73:R87"/>
    <mergeCell ref="S73:S87"/>
    <mergeCell ref="T73:T87"/>
    <mergeCell ref="U73:U87"/>
    <mergeCell ref="V73:V87"/>
    <mergeCell ref="W73:W87"/>
    <mergeCell ref="L73:L87"/>
    <mergeCell ref="M73:M87"/>
    <mergeCell ref="X88:X102"/>
    <mergeCell ref="Y88:Y102"/>
    <mergeCell ref="C92:C95"/>
    <mergeCell ref="C96:C99"/>
    <mergeCell ref="C100:C103"/>
    <mergeCell ref="H103:H117"/>
    <mergeCell ref="Y103:Y117"/>
    <mergeCell ref="S43:S57"/>
    <mergeCell ref="T43:T57"/>
    <mergeCell ref="U43:U57"/>
    <mergeCell ref="V43:V57"/>
    <mergeCell ref="W43:W57"/>
    <mergeCell ref="L43:L57"/>
    <mergeCell ref="M43:M57"/>
    <mergeCell ref="X58:X72"/>
    <mergeCell ref="Y58:Y72"/>
    <mergeCell ref="R58:R72"/>
    <mergeCell ref="S58:S72"/>
    <mergeCell ref="T58:T72"/>
    <mergeCell ref="U58:U72"/>
    <mergeCell ref="V58:V72"/>
    <mergeCell ref="W58:W72"/>
    <mergeCell ref="L58:L72"/>
    <mergeCell ref="M58:M72"/>
    <mergeCell ref="O43:O57"/>
    <mergeCell ref="R43:R57"/>
    <mergeCell ref="Q43:Q57"/>
    <mergeCell ref="C44:C47"/>
    <mergeCell ref="C48:C51"/>
    <mergeCell ref="C52:C55"/>
    <mergeCell ref="C56:C59"/>
    <mergeCell ref="C60:C63"/>
    <mergeCell ref="C64:C67"/>
    <mergeCell ref="C68:C71"/>
    <mergeCell ref="C72:C75"/>
    <mergeCell ref="AC28:AC32"/>
    <mergeCell ref="C32:C35"/>
    <mergeCell ref="AB33:AB37"/>
    <mergeCell ref="AC33:AC37"/>
    <mergeCell ref="C36:C39"/>
    <mergeCell ref="C40:C43"/>
    <mergeCell ref="H43:H57"/>
    <mergeCell ref="I43:I57"/>
    <mergeCell ref="J43:J57"/>
    <mergeCell ref="K43:K57"/>
    <mergeCell ref="U28:U42"/>
    <mergeCell ref="V28:V42"/>
    <mergeCell ref="W28:W42"/>
    <mergeCell ref="X28:X42"/>
    <mergeCell ref="Y28:Y42"/>
    <mergeCell ref="AB28:AB32"/>
    <mergeCell ref="C28:C31"/>
    <mergeCell ref="H28:H42"/>
    <mergeCell ref="I28:I42"/>
    <mergeCell ref="J28:J42"/>
    <mergeCell ref="K28:K42"/>
    <mergeCell ref="L28:L42"/>
    <mergeCell ref="M28:M42"/>
    <mergeCell ref="N28:N42"/>
    <mergeCell ref="X8:X27"/>
    <mergeCell ref="C12:C15"/>
    <mergeCell ref="C16:C19"/>
    <mergeCell ref="C20:C23"/>
    <mergeCell ref="C8:C11"/>
    <mergeCell ref="H8:H27"/>
    <mergeCell ref="I8:I27"/>
    <mergeCell ref="Z5:AE6"/>
    <mergeCell ref="AB23:AB27"/>
    <mergeCell ref="R8:R27"/>
    <mergeCell ref="S8:S27"/>
    <mergeCell ref="T8:T27"/>
    <mergeCell ref="U8:U27"/>
    <mergeCell ref="L8:L27"/>
    <mergeCell ref="M8:M27"/>
    <mergeCell ref="X43:X57"/>
    <mergeCell ref="Y43:Y57"/>
    <mergeCell ref="AC23:AC27"/>
    <mergeCell ref="Y8:Y27"/>
    <mergeCell ref="AB13:AB17"/>
    <mergeCell ref="AC13:AC17"/>
    <mergeCell ref="AB18:AB22"/>
    <mergeCell ref="AC18:AC22"/>
    <mergeCell ref="R5:U5"/>
    <mergeCell ref="B4:G4"/>
    <mergeCell ref="J8:J27"/>
    <mergeCell ref="K8:K27"/>
    <mergeCell ref="P8:P27"/>
    <mergeCell ref="N8:N27"/>
    <mergeCell ref="Q8:Q27"/>
    <mergeCell ref="O8:O27"/>
    <mergeCell ref="V5:Y5"/>
    <mergeCell ref="C24:C27"/>
    <mergeCell ref="S3:T3"/>
    <mergeCell ref="E7:E17"/>
    <mergeCell ref="S4:T4"/>
    <mergeCell ref="Z7:AE7"/>
    <mergeCell ref="U3:AE3"/>
    <mergeCell ref="Z4:AE4"/>
    <mergeCell ref="V4:X4"/>
    <mergeCell ref="V8:V27"/>
    <mergeCell ref="W8:W27"/>
    <mergeCell ref="H4:I4"/>
    <mergeCell ref="B3:E3"/>
    <mergeCell ref="F7:G7"/>
    <mergeCell ref="J4:N4"/>
    <mergeCell ref="F3:N3"/>
    <mergeCell ref="O3:P3"/>
    <mergeCell ref="O4:P4"/>
    <mergeCell ref="Q4:R4"/>
    <mergeCell ref="Q3:R3"/>
    <mergeCell ref="B5:B6"/>
    <mergeCell ref="C5:E6"/>
    <mergeCell ref="F5:G6"/>
    <mergeCell ref="H5:H6"/>
    <mergeCell ref="I5:M5"/>
    <mergeCell ref="N5:Q5"/>
  </mergeCells>
  <phoneticPr fontId="2" type="noConversion"/>
  <conditionalFormatting sqref="D8:D207">
    <cfRule type="containsText" dxfId="12" priority="2" stopIfTrue="1" operator="containsText" text="ML">
      <formula>NOT(ISERROR(SEARCH("ML",D8)))</formula>
    </cfRule>
    <cfRule type="containsText" dxfId="11" priority="3" stopIfTrue="1" operator="containsText" text="CL-ML">
      <formula>NOT(ISERROR(SEARCH("CL-ML",D8)))</formula>
    </cfRule>
    <cfRule type="containsText" dxfId="10" priority="4" stopIfTrue="1" operator="containsText" text="GP">
      <formula>NOT(ISERROR(SEARCH("GP",D8)))</formula>
    </cfRule>
    <cfRule type="containsText" dxfId="9" priority="5" stopIfTrue="1" operator="containsText" text="GW">
      <formula>NOT(ISERROR(SEARCH("GW",D8)))</formula>
    </cfRule>
    <cfRule type="containsText" dxfId="8" priority="6" stopIfTrue="1" operator="containsText" text="GM">
      <formula>NOT(ISERROR(SEARCH("GM",D8)))</formula>
    </cfRule>
    <cfRule type="containsText" dxfId="7" priority="7" stopIfTrue="1" operator="containsText" text="SM">
      <formula>NOT(ISERROR(SEARCH("SM",D8)))</formula>
    </cfRule>
    <cfRule type="containsText" dxfId="6" priority="8" stopIfTrue="1" operator="containsText" text="SP">
      <formula>NOT(ISERROR(SEARCH("SP",D8)))</formula>
    </cfRule>
    <cfRule type="containsText" dxfId="5" priority="10" stopIfTrue="1" operator="containsText" text="SW">
      <formula>NOT(ISERROR(SEARCH("SW",D8)))</formula>
    </cfRule>
    <cfRule type="containsText" dxfId="4" priority="11" stopIfTrue="1" operator="containsText" text="CL">
      <formula>NOT(ISERROR(SEARCH("CL",D8)))</formula>
    </cfRule>
    <cfRule type="containsText" dxfId="3" priority="12" stopIfTrue="1" operator="containsText" text="SC">
      <formula>NOT(ISERROR(SEARCH("SC",D8)))</formula>
    </cfRule>
    <cfRule type="containsText" dxfId="2" priority="13" stopIfTrue="1" operator="containsText" text="CH">
      <formula>NOT(ISERROR(SEARCH("CH",D8)))</formula>
    </cfRule>
    <cfRule type="containsText" dxfId="1" priority="14" stopIfTrue="1" operator="containsText" text="MH">
      <formula>NOT(ISERROR(SEARCH("MH",D8)))</formula>
    </cfRule>
  </conditionalFormatting>
  <conditionalFormatting sqref="E108:E207">
    <cfRule type="containsText" dxfId="0" priority="1" stopIfTrue="1" operator="containsText" text="▼">
      <formula>NOT(ISERROR(SEARCH("▼",E108)))</formula>
    </cfRule>
  </conditionalFormatting>
  <pageMargins left="0.75" right="0.75" top="1" bottom="1" header="0.5" footer="0.5"/>
  <pageSetup paperSize="9" scale="67"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具名範圍</vt:lpstr>
      </vt:variant>
      <vt:variant>
        <vt:i4>3</vt:i4>
      </vt:variant>
    </vt:vector>
  </HeadingPairs>
  <TitlesOfParts>
    <vt:vector size="6" baseType="lpstr">
      <vt:lpstr>Input</vt:lpstr>
      <vt:lpstr>HBF</vt:lpstr>
      <vt:lpstr>Out</vt:lpstr>
      <vt:lpstr>HBF!Print_Area</vt:lpstr>
      <vt:lpstr>Input!Print_Area</vt:lpstr>
      <vt:lpstr>Out!Print_Area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SemisphereZenBook</cp:lastModifiedBy>
  <cp:lastPrinted>2016-08-09T04:26:08Z</cp:lastPrinted>
  <dcterms:created xsi:type="dcterms:W3CDTF">2003-10-21T00:39:40Z</dcterms:created>
  <dcterms:modified xsi:type="dcterms:W3CDTF">2021-07-05T01:57:05Z</dcterms:modified>
</cp:coreProperties>
</file>